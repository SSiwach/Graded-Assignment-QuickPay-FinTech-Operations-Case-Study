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wach\Downloads\BITSoM-FTAI-2601 - Graded Assignment 1\BITSoM-FTAI-2601 - Graded Assignment 1 - DataSet\"/>
    </mc:Choice>
  </mc:AlternateContent>
  <bookViews>
    <workbookView xWindow="0" yWindow="0" windowWidth="23040" windowHeight="10332"/>
  </bookViews>
  <sheets>
    <sheet name="transactions_raw" sheetId="1" r:id="rId1"/>
    <sheet name="exchange_rates" sheetId="2" r:id="rId2"/>
    <sheet name="merchant_master" sheetId="3" r:id="rId3"/>
  </sheets>
  <calcPr calcId="0"/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2" i="1"/>
  <c r="A3" i="3"/>
  <c r="A4" i="3"/>
  <c r="A5" i="3"/>
  <c r="A6" i="3"/>
  <c r="A2" i="3"/>
  <c r="M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2" i="1"/>
  <c r="Y26" i="1"/>
  <c r="Y27" i="1"/>
  <c r="Y31" i="1"/>
  <c r="T4" i="1"/>
  <c r="Y4" i="1" s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Y22" i="1" s="1"/>
  <c r="T23" i="1"/>
  <c r="Y23" i="1" s="1"/>
  <c r="T24" i="1"/>
  <c r="Y24" i="1" s="1"/>
  <c r="T25" i="1"/>
  <c r="T26" i="1"/>
  <c r="T27" i="1"/>
  <c r="T28" i="1"/>
  <c r="T29" i="1"/>
  <c r="T30" i="1"/>
  <c r="T31" i="1"/>
  <c r="T2" i="1"/>
  <c r="W3" i="1"/>
  <c r="W4" i="1"/>
  <c r="W5" i="1"/>
  <c r="W6" i="1"/>
  <c r="Y6" i="1" s="1"/>
  <c r="W7" i="1"/>
  <c r="Y7" i="1" s="1"/>
  <c r="W8" i="1"/>
  <c r="W9" i="1"/>
  <c r="Y9" i="1" s="1"/>
  <c r="W10" i="1"/>
  <c r="W11" i="1"/>
  <c r="Y11" i="1" s="1"/>
  <c r="W12" i="1"/>
  <c r="Y12" i="1" s="1"/>
  <c r="W13" i="1"/>
  <c r="Y13" i="1" s="1"/>
  <c r="W14" i="1"/>
  <c r="Y14" i="1" s="1"/>
  <c r="W15" i="1"/>
  <c r="W16" i="1"/>
  <c r="W17" i="1"/>
  <c r="W18" i="1"/>
  <c r="W19" i="1"/>
  <c r="W20" i="1"/>
  <c r="W21" i="1"/>
  <c r="Y21" i="1" s="1"/>
  <c r="W22" i="1"/>
  <c r="W23" i="1"/>
  <c r="W24" i="1"/>
  <c r="W25" i="1"/>
  <c r="W26" i="1"/>
  <c r="W27" i="1"/>
  <c r="W28" i="1"/>
  <c r="W29" i="1"/>
  <c r="Y29" i="1" s="1"/>
  <c r="W30" i="1"/>
  <c r="W31" i="1"/>
  <c r="W2" i="1"/>
  <c r="Y2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" i="2"/>
  <c r="U3" i="1"/>
  <c r="U4" i="1"/>
  <c r="U5" i="1"/>
  <c r="U6" i="1"/>
  <c r="U7" i="1"/>
  <c r="U8" i="1"/>
  <c r="U9" i="1"/>
  <c r="U10" i="1"/>
  <c r="U11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Y20" i="1" l="1"/>
  <c r="Y28" i="1"/>
  <c r="Y8" i="1"/>
  <c r="Y25" i="1"/>
  <c r="Y5" i="1"/>
  <c r="Y19" i="1"/>
  <c r="Y18" i="1"/>
  <c r="Y17" i="1"/>
  <c r="Y16" i="1"/>
  <c r="Y15" i="1"/>
  <c r="Y30" i="1"/>
  <c r="Y10" i="1"/>
  <c r="Y3" i="1"/>
  <c r="U12" i="1"/>
</calcChain>
</file>

<file path=xl/sharedStrings.xml><?xml version="1.0" encoding="utf-8"?>
<sst xmlns="http://schemas.openxmlformats.org/spreadsheetml/2006/main" count="294" uniqueCount="137">
  <si>
    <t>transaction_id</t>
  </si>
  <si>
    <t>transaction_date</t>
  </si>
  <si>
    <t>merchant_name</t>
  </si>
  <si>
    <t>raw_amount</t>
  </si>
  <si>
    <t>currency</t>
  </si>
  <si>
    <t>status</t>
  </si>
  <si>
    <t>risk_score</t>
  </si>
  <si>
    <t>gateway_region</t>
  </si>
  <si>
    <t>user_id</t>
  </si>
  <si>
    <t>payment_method</t>
  </si>
  <si>
    <t>T001</t>
  </si>
  <si>
    <t xml:space="preserve"> alpha mart 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</si>
  <si>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</si>
  <si>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</si>
  <si>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</si>
  <si>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</si>
  <si>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</si>
  <si>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</si>
  <si>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</si>
  <si>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</si>
  <si>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 xml:space="preserve">Captured </t>
  </si>
  <si>
    <t>U002</t>
  </si>
  <si>
    <t>Card</t>
  </si>
  <si>
    <t>T003</t>
  </si>
  <si>
    <t xml:space="preserve">BETA STORES </t>
  </si>
  <si>
    <t xml:space="preserve"> CAPTURED</t>
  </si>
  <si>
    <t xml:space="preserve"> APAC </t>
  </si>
  <si>
    <t>U003</t>
  </si>
  <si>
    <t>NetBanking</t>
  </si>
  <si>
    <t>T004</t>
  </si>
  <si>
    <t>Beta  Stores</t>
  </si>
  <si>
    <t xml:space="preserve"> failed e05 timeout </t>
  </si>
  <si>
    <t>apac</t>
  </si>
  <si>
    <t>U004</t>
  </si>
  <si>
    <t>T005</t>
  </si>
  <si>
    <t>Alpha Mart</t>
  </si>
  <si>
    <t>T006</t>
  </si>
  <si>
    <t>score:64</t>
  </si>
  <si>
    <t>U005</t>
  </si>
  <si>
    <t>Wallet</t>
  </si>
  <si>
    <t>T007</t>
  </si>
  <si>
    <t>Alpha  Mart</t>
  </si>
  <si>
    <t>chargeback</t>
  </si>
  <si>
    <t>risk-83</t>
  </si>
  <si>
    <t>U006</t>
  </si>
  <si>
    <t>T008</t>
  </si>
  <si>
    <t>U007</t>
  </si>
  <si>
    <t>T009</t>
  </si>
  <si>
    <t>T010</t>
  </si>
  <si>
    <t>Beta Stores</t>
  </si>
  <si>
    <t>risk-77</t>
  </si>
  <si>
    <t>T011</t>
  </si>
  <si>
    <t>FAILED e05 TIMEOUT</t>
  </si>
  <si>
    <t>U008</t>
  </si>
  <si>
    <t>T012</t>
  </si>
  <si>
    <t xml:space="preserve">captured </t>
  </si>
  <si>
    <t>risk-61</t>
  </si>
  <si>
    <t>U009</t>
  </si>
  <si>
    <t>T013</t>
  </si>
  <si>
    <t>score:54</t>
  </si>
  <si>
    <t>U010</t>
  </si>
  <si>
    <t>T014</t>
  </si>
  <si>
    <t>risk-73</t>
  </si>
  <si>
    <t>T015</t>
  </si>
  <si>
    <t>score:52</t>
  </si>
  <si>
    <t>T016</t>
  </si>
  <si>
    <t>failed E05 timeout</t>
  </si>
  <si>
    <t>risk-69</t>
  </si>
  <si>
    <t>T017</t>
  </si>
  <si>
    <t>Failed E05 Timeout</t>
  </si>
  <si>
    <t>score:72</t>
  </si>
  <si>
    <t>T018</t>
  </si>
  <si>
    <t xml:space="preserve"> chargeback </t>
  </si>
  <si>
    <t>risk-86</t>
  </si>
  <si>
    <t>T019</t>
  </si>
  <si>
    <t>score:67</t>
  </si>
  <si>
    <t>T020</t>
  </si>
  <si>
    <t>T021</t>
  </si>
  <si>
    <t xml:space="preserve"> beta stores</t>
  </si>
  <si>
    <t>score:63</t>
  </si>
  <si>
    <t>T022</t>
  </si>
  <si>
    <t>T023</t>
  </si>
  <si>
    <t>City Pharma</t>
  </si>
  <si>
    <t>EUR</t>
  </si>
  <si>
    <t xml:space="preserve"> EU </t>
  </si>
  <si>
    <t>T024</t>
  </si>
  <si>
    <t>Eco Home</t>
  </si>
  <si>
    <t>score:65</t>
  </si>
  <si>
    <t>EU</t>
  </si>
  <si>
    <t>T025</t>
  </si>
  <si>
    <t>eu</t>
  </si>
  <si>
    <t>T026</t>
  </si>
  <si>
    <t>T027</t>
  </si>
  <si>
    <t>DELTA TRAVELS</t>
  </si>
  <si>
    <t>USD</t>
  </si>
  <si>
    <t>us</t>
  </si>
  <si>
    <t>T028</t>
  </si>
  <si>
    <t>Delta Travels</t>
  </si>
  <si>
    <t>risk-41</t>
  </si>
  <si>
    <t>US</t>
  </si>
  <si>
    <t>T029</t>
  </si>
  <si>
    <t xml:space="preserve">delta travels </t>
  </si>
  <si>
    <t>score:58</t>
  </si>
  <si>
    <t>T030</t>
  </si>
  <si>
    <t>score:47</t>
  </si>
  <si>
    <t xml:space="preserve">merchant_name_clean </t>
  </si>
  <si>
    <t>standard_date_format</t>
  </si>
  <si>
    <t>standrized_status_value</t>
  </si>
  <si>
    <t>high_risk_flag</t>
  </si>
  <si>
    <t>standrized_risk_score</t>
  </si>
  <si>
    <t>high_value_flag</t>
  </si>
  <si>
    <t>rate_date</t>
  </si>
  <si>
    <t>usd_rate</t>
  </si>
  <si>
    <t>key</t>
  </si>
  <si>
    <t>merchant_key</t>
  </si>
  <si>
    <t>amount_usd</t>
  </si>
  <si>
    <t>standarized_gateway_region</t>
  </si>
  <si>
    <t>merchant_id</t>
  </si>
  <si>
    <t>account_manager</t>
  </si>
  <si>
    <t>merchant_category</t>
  </si>
  <si>
    <t>default_region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</si>
  <si>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</si>
  <si>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</si>
  <si>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</si>
  <si>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</si>
  <si>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</si>
  <si>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</si>
  <si>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</si>
  <si>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</si>
  <si>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</si>
  <si>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</si>
  <si>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</si>
  <si>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</si>
  <si>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</si>
  <si>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</si>
  <si>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</si>
  <si>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standarized_merchant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</si>
</sst>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0" formatCode="[$-14009]yyyy/mm/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0" fontId="18" fillId="0" borderId="0" xfId="0" applyFont="1" applyFill="1" applyBorder="1"/>
    <xf numFmtId="14" fontId="18" fillId="0" borderId="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"/>
  <sheetViews>
    <sheetView tabSelected="1" topLeftCell="O1" workbookViewId="0">
      <selection activeCell="Q5" sqref="Q5"/>
    </sheetView>
  </sheetViews>
  <sheetFormatPr defaultRowHeight="14.4" x14ac:dyDescent="0.3"/>
  <cols>
    <col min="1" max="1" width="12.6640625" bestFit="1" customWidth="1"/>
    <col min="2" max="2" width="15" bestFit="1" customWidth="1"/>
    <col min="6" max="6" width="18.6640625" bestFit="1" customWidth="1"/>
    <col min="7" max="7" width="9.21875" bestFit="1" customWidth="1"/>
    <col min="13" max="13" width="20.33203125" style="2" bestFit="1" customWidth="1"/>
    <col min="14" max="17" width="20.33203125" style="2" customWidth="1"/>
    <col min="18" max="18" width="19.6640625" style="3" bestFit="1" customWidth="1"/>
    <col min="19" max="19" width="20.77734375" style="2" bestFit="1" customWidth="1"/>
    <col min="20" max="20" width="20.77734375" style="2" customWidth="1"/>
    <col min="21" max="21" width="18.77734375" style="2" bestFit="1" customWidth="1"/>
    <col min="22" max="23" width="18.77734375" style="2" customWidth="1"/>
    <col min="24" max="24" width="12.109375" style="2" bestFit="1" customWidth="1"/>
    <col min="25" max="25" width="13.77734375" style="2" bestFit="1" customWidth="1"/>
    <col min="26" max="26" width="8.88671875" style="2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M1" s="2" t="s">
        <v>105</v>
      </c>
      <c r="N1" s="2" t="s">
        <v>118</v>
      </c>
      <c r="O1" s="2" t="s">
        <v>117</v>
      </c>
      <c r="P1" s="2" t="s">
        <v>119</v>
      </c>
      <c r="Q1" s="2" t="s">
        <v>120</v>
      </c>
      <c r="R1" s="3" t="s">
        <v>106</v>
      </c>
      <c r="S1" s="2" t="s">
        <v>107</v>
      </c>
      <c r="T1" s="2" t="s">
        <v>116</v>
      </c>
      <c r="U1" s="2" t="s">
        <v>109</v>
      </c>
      <c r="V1" s="2" t="s">
        <v>114</v>
      </c>
      <c r="W1" s="2" t="s">
        <v>115</v>
      </c>
      <c r="X1" s="2" t="s">
        <v>108</v>
      </c>
      <c r="Y1" s="2" t="s">
        <v>110</v>
      </c>
    </row>
    <row r="2" spans="1:25" x14ac:dyDescent="0.3">
      <c r="A2" t="s">
        <v>10</v>
      </c>
      <c r="B2" s="1">
        <v>46082</v>
      </c>
      <c r="C2" t="s">
        <v>11</v>
      </c>
      <c r="D2">
        <v>420000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M2" s="2" t="str">
        <f>PROPER(TRIM(SUBSTITUTE(C2,"  "," ")))</f>
        <v>Alpha Mart</v>
      </c>
      <c r="N2" s="2" t="str">
        <f>VLOOKUP(M2, merchant_master!$A$2:$F$6, 4, FALSE)</f>
        <v>Aisha Khan</v>
      </c>
      <c r="O2" s="2" t="str">
        <f>VLOOKUP(M2, merchant_master!$A$2:$F$6, 2, FALSE)</f>
        <v>M001</v>
      </c>
      <c r="P2" s="2" t="str">
        <f>VLOOKUP(M2, merchant_master!$A$2:$F$6, 5, FALSE)</f>
        <v>Grocery</v>
      </c>
      <c r="Q2" s="2" t="str">
        <f>VLOOKUP(M2, merchant_master!$A$2:$F$6, 6, FALSE)</f>
        <v>APAC</v>
      </c>
      <c r="R2" s="3">
        <f>B2</f>
        <v>46082</v>
      </c>
      <c r="S2" s="2" t="str">
        <f>IF(ISNUMBER(SEARCH("chargeback",F2)),"CHARGEBACK",IF(OR(ISNUMBER(SEARCH("fail",F2)),ISNUMBER(SEARCH("e05",F2))),"FAILED",IF(ISNUMBER(SEARCH("captured",F2)),"CAPTURED","UNKNOWN")))</f>
        <v>CAPTURED</v>
      </c>
      <c r="T2" s="2" t="str">
        <f>UPPER(TRIM(H2))</f>
        <v>APAC</v>
      </c>
      <c r="U2" s="2">
        <f>VALUE(SUBSTITUTE(SUBSTITUTE(G2,"score:",""),"risk-",""))</f>
        <v>62</v>
      </c>
      <c r="V2" s="2" t="str">
        <f>R2 &amp; "|" &amp; E2</f>
        <v>46082|INR</v>
      </c>
      <c r="W2" s="2">
        <f>D2 * INDEX(exchange_rates!$C$2:$C$19, MATCH(V2, exchange_rates!$D$2:$D$19, 0))</f>
        <v>4998</v>
      </c>
      <c r="X2" s="2">
        <f>IF(OR(U2&gt;=70, ISNUMBER(SEARCH("CHARGEBACK", S2))), 1, 0)</f>
        <v>0</v>
      </c>
      <c r="Y2" s="2">
        <f>IF(AND(T2="APAC", W2&gt;5000), 1,IF(AND(T2="EU", W2&gt;6000), 1,IF(AND(T2="US", W2&gt;7000), 1, 0)))</f>
        <v>0</v>
      </c>
    </row>
    <row r="3" spans="1:25" x14ac:dyDescent="0.3">
      <c r="A3" t="s">
        <v>18</v>
      </c>
      <c r="B3" s="1">
        <v>46082</v>
      </c>
      <c r="C3" t="s">
        <v>19</v>
      </c>
      <c r="D3">
        <v>210000</v>
      </c>
      <c r="E3" t="s">
        <v>12</v>
      </c>
      <c r="F3" t="s">
        <v>20</v>
      </c>
      <c r="G3">
        <v>55</v>
      </c>
      <c r="I3" t="s">
        <v>21</v>
      </c>
      <c r="J3" t="s">
        <v>22</v>
      </c>
      <c r="M3" s="2" t="str">
        <f t="shared" ref="M3:M31" si="0">PROPER(TRIM(SUBSTITUTE(C3,"  "," ")))</f>
        <v>Alpha Mart</v>
      </c>
      <c r="N3" s="2" t="str">
        <f>VLOOKUP(M3, merchant_master!$A$2:$F$6, 4, FALSE)</f>
        <v>Aisha Khan</v>
      </c>
      <c r="O3" s="2" t="str">
        <f>VLOOKUP(M3, merchant_master!$A$2:$F$6, 2, FALSE)</f>
        <v>M001</v>
      </c>
      <c r="P3" s="2" t="str">
        <f>VLOOKUP(M3, merchant_master!$A$2:$F$6, 5, FALSE)</f>
        <v>Grocery</v>
      </c>
      <c r="Q3" s="2" t="str">
        <f>VLOOKUP(M3, merchant_master!$A$2:$F$6, 6, FALSE)</f>
        <v>APAC</v>
      </c>
      <c r="R3" s="3">
        <f t="shared" ref="R3:R31" si="1">B3</f>
        <v>46082</v>
      </c>
      <c r="S3" s="2" t="str">
        <f t="shared" ref="S3:S31" si="2">IF(ISNUMBER(SEARCH("chargeback",F3)),"CHARGEBACK",IF(OR(ISNUMBER(SEARCH("fail",F3)),ISNUMBER(SEARCH("e05",F3))),"FAILED",IF(ISNUMBER(SEARCH("captured",F3)),"CAPTURED","UNKNOWN")))</f>
        <v>CAPTURED</v>
      </c>
      <c r="U3" s="2">
        <f>VALUE(SUBSTITUTE(SUBSTITUTE(G3,"score:",""),"risk-",""))</f>
        <v>55</v>
      </c>
      <c r="V3" s="2" t="str">
        <f t="shared" ref="V3:V31" si="3">R3 &amp; "|" &amp; E3</f>
        <v>46082|INR</v>
      </c>
      <c r="W3" s="2">
        <f>D3 * INDEX(exchange_rates!$C$2:$C$19, MATCH(V3, exchange_rates!$D$2:$D$19, 0))</f>
        <v>2499</v>
      </c>
      <c r="X3" s="2">
        <f t="shared" ref="X3:X31" si="4">IF(OR(U3&gt;=70, ISNUMBER(SEARCH("CHARGEBACK", S3))), 1, 0)</f>
        <v>0</v>
      </c>
      <c r="Y3" s="2">
        <f t="shared" ref="Y3:Y31" si="5">IF(AND(T3="APAC", W3&gt;5000), 1,IF(AND(T3="EU", W3&gt;6000), 1,IF(AND(T3="US", W3&gt;7000), 1, 0)))</f>
        <v>0</v>
      </c>
    </row>
    <row r="4" spans="1:25" x14ac:dyDescent="0.3">
      <c r="A4" t="s">
        <v>23</v>
      </c>
      <c r="B4" s="1">
        <v>46082</v>
      </c>
      <c r="C4" t="s">
        <v>24</v>
      </c>
      <c r="D4">
        <v>510000</v>
      </c>
      <c r="E4" t="s">
        <v>12</v>
      </c>
      <c r="F4" t="s">
        <v>25</v>
      </c>
      <c r="G4">
        <v>71</v>
      </c>
      <c r="H4" t="s">
        <v>26</v>
      </c>
      <c r="I4" t="s">
        <v>27</v>
      </c>
      <c r="J4" t="s">
        <v>28</v>
      </c>
      <c r="M4" s="2" t="str">
        <f t="shared" si="0"/>
        <v>Beta Stores</v>
      </c>
      <c r="N4" s="2" t="str">
        <f>VLOOKUP(M4, merchant_master!$A$2:$F$6, 4, FALSE)</f>
        <v>Rohan Mehta</v>
      </c>
      <c r="O4" s="2" t="str">
        <f>VLOOKUP(M4, merchant_master!$A$2:$F$6, 2, FALSE)</f>
        <v>M002</v>
      </c>
      <c r="P4" s="2" t="str">
        <f>VLOOKUP(M4, merchant_master!$A$2:$F$6, 5, FALSE)</f>
        <v>Electronics</v>
      </c>
      <c r="Q4" s="2" t="str">
        <f>VLOOKUP(M4, merchant_master!$A$2:$F$6, 6, FALSE)</f>
        <v>APAC</v>
      </c>
      <c r="R4" s="3">
        <f t="shared" si="1"/>
        <v>46082</v>
      </c>
      <c r="S4" s="2" t="str">
        <f t="shared" si="2"/>
        <v>CAPTURED</v>
      </c>
      <c r="T4" s="2" t="str">
        <f>UPPER(TRIM(H4))</f>
        <v>APAC</v>
      </c>
      <c r="U4" s="2">
        <f>VALUE(SUBSTITUTE(SUBSTITUTE(G4,"score:",""),"risk-",""))</f>
        <v>71</v>
      </c>
      <c r="V4" s="2" t="str">
        <f t="shared" si="3"/>
        <v>46082|INR</v>
      </c>
      <c r="W4" s="2">
        <f>D4 * INDEX(exchange_rates!$C$2:$C$19, MATCH(V4, exchange_rates!$D$2:$D$19, 0))</f>
        <v>6069</v>
      </c>
      <c r="X4" s="2">
        <f t="shared" si="4"/>
        <v>1</v>
      </c>
      <c r="Y4" s="2">
        <f t="shared" si="5"/>
        <v>1</v>
      </c>
    </row>
    <row r="5" spans="1:25" x14ac:dyDescent="0.3">
      <c r="A5" t="s">
        <v>29</v>
      </c>
      <c r="B5" s="1">
        <v>46083</v>
      </c>
      <c r="C5" t="s">
        <v>30</v>
      </c>
      <c r="D5">
        <v>160000</v>
      </c>
      <c r="E5" t="s">
        <v>12</v>
      </c>
      <c r="F5" t="s">
        <v>31</v>
      </c>
      <c r="G5">
        <v>68</v>
      </c>
      <c r="H5" t="s">
        <v>32</v>
      </c>
      <c r="I5" t="s">
        <v>33</v>
      </c>
      <c r="J5" t="s">
        <v>22</v>
      </c>
      <c r="M5" s="2" t="str">
        <f t="shared" si="0"/>
        <v>Beta Stores</v>
      </c>
      <c r="N5" s="2" t="str">
        <f>VLOOKUP(M5, merchant_master!$A$2:$F$6, 4, FALSE)</f>
        <v>Rohan Mehta</v>
      </c>
      <c r="O5" s="2" t="str">
        <f>VLOOKUP(M5, merchant_master!$A$2:$F$6, 2, FALSE)</f>
        <v>M002</v>
      </c>
      <c r="P5" s="2" t="str">
        <f>VLOOKUP(M5, merchant_master!$A$2:$F$6, 5, FALSE)</f>
        <v>Electronics</v>
      </c>
      <c r="Q5" s="2" t="str">
        <f>VLOOKUP(M5, merchant_master!$A$2:$F$6, 6, FALSE)</f>
        <v>APAC</v>
      </c>
      <c r="R5" s="3">
        <f t="shared" si="1"/>
        <v>46083</v>
      </c>
      <c r="S5" s="2" t="str">
        <f t="shared" si="2"/>
        <v>FAILED</v>
      </c>
      <c r="T5" s="2" t="str">
        <f>UPPER(TRIM(H5))</f>
        <v>APAC</v>
      </c>
      <c r="U5" s="2">
        <f>VALUE(SUBSTITUTE(SUBSTITUTE(G5,"score:",""),"risk-",""))</f>
        <v>68</v>
      </c>
      <c r="V5" s="2" t="str">
        <f t="shared" si="3"/>
        <v>46083|INR</v>
      </c>
      <c r="W5" s="2">
        <f>D5 * INDEX(exchange_rates!$C$2:$C$19, MATCH(V5, exchange_rates!$D$2:$D$19, 0))</f>
        <v>1920</v>
      </c>
      <c r="X5" s="2">
        <f t="shared" si="4"/>
        <v>0</v>
      </c>
      <c r="Y5" s="2">
        <f t="shared" si="5"/>
        <v>0</v>
      </c>
    </row>
    <row r="6" spans="1:25" x14ac:dyDescent="0.3">
      <c r="A6" t="s">
        <v>34</v>
      </c>
      <c r="B6" s="1">
        <v>46083</v>
      </c>
      <c r="C6" t="s">
        <v>35</v>
      </c>
      <c r="D6">
        <v>390000</v>
      </c>
      <c r="E6" t="s">
        <v>12</v>
      </c>
      <c r="F6" t="s">
        <v>25</v>
      </c>
      <c r="G6">
        <v>58</v>
      </c>
      <c r="I6" t="s">
        <v>16</v>
      </c>
      <c r="J6" t="s">
        <v>17</v>
      </c>
      <c r="M6" s="2" t="str">
        <f t="shared" si="0"/>
        <v>Alpha Mart</v>
      </c>
      <c r="N6" s="2" t="str">
        <f>VLOOKUP(M6, merchant_master!$A$2:$F$6, 4, FALSE)</f>
        <v>Aisha Khan</v>
      </c>
      <c r="O6" s="2" t="str">
        <f>VLOOKUP(M6, merchant_master!$A$2:$F$6, 2, FALSE)</f>
        <v>M001</v>
      </c>
      <c r="P6" s="2" t="str">
        <f>VLOOKUP(M6, merchant_master!$A$2:$F$6, 5, FALSE)</f>
        <v>Grocery</v>
      </c>
      <c r="Q6" s="2" t="str">
        <f>VLOOKUP(M6, merchant_master!$A$2:$F$6, 6, FALSE)</f>
        <v>APAC</v>
      </c>
      <c r="R6" s="3">
        <f t="shared" si="1"/>
        <v>46083</v>
      </c>
      <c r="S6" s="2" t="str">
        <f t="shared" si="2"/>
        <v>CAPTURED</v>
      </c>
      <c r="T6" s="2" t="str">
        <f>UPPER(TRIM(H6))</f>
        <v/>
      </c>
      <c r="U6" s="2">
        <f>VALUE(SUBSTITUTE(SUBSTITUTE(G6,"score:",""),"risk-",""))</f>
        <v>58</v>
      </c>
      <c r="V6" s="2" t="str">
        <f t="shared" si="3"/>
        <v>46083|INR</v>
      </c>
      <c r="W6" s="2">
        <f>D6 * INDEX(exchange_rates!$C$2:$C$19, MATCH(V6, exchange_rates!$D$2:$D$19, 0))</f>
        <v>4680</v>
      </c>
      <c r="X6" s="2">
        <f t="shared" si="4"/>
        <v>0</v>
      </c>
      <c r="Y6" s="2">
        <f t="shared" si="5"/>
        <v>0</v>
      </c>
    </row>
    <row r="7" spans="1:25" x14ac:dyDescent="0.3">
      <c r="A7" t="s">
        <v>36</v>
      </c>
      <c r="B7" s="1">
        <v>46083</v>
      </c>
      <c r="C7" t="s">
        <v>30</v>
      </c>
      <c r="D7">
        <v>275000</v>
      </c>
      <c r="E7" t="s">
        <v>12</v>
      </c>
      <c r="F7" t="s">
        <v>20</v>
      </c>
      <c r="G7" t="s">
        <v>37</v>
      </c>
      <c r="I7" t="s">
        <v>38</v>
      </c>
      <c r="J7" t="s">
        <v>39</v>
      </c>
      <c r="M7" s="2" t="str">
        <f t="shared" si="0"/>
        <v>Beta Stores</v>
      </c>
      <c r="N7" s="2" t="str">
        <f>VLOOKUP(M7, merchant_master!$A$2:$F$6, 4, FALSE)</f>
        <v>Rohan Mehta</v>
      </c>
      <c r="O7" s="2" t="str">
        <f>VLOOKUP(M7, merchant_master!$A$2:$F$6, 2, FALSE)</f>
        <v>M002</v>
      </c>
      <c r="P7" s="2" t="str">
        <f>VLOOKUP(M7, merchant_master!$A$2:$F$6, 5, FALSE)</f>
        <v>Electronics</v>
      </c>
      <c r="Q7" s="2" t="str">
        <f>VLOOKUP(M7, merchant_master!$A$2:$F$6, 6, FALSE)</f>
        <v>APAC</v>
      </c>
      <c r="R7" s="3">
        <f t="shared" si="1"/>
        <v>46083</v>
      </c>
      <c r="S7" s="2" t="str">
        <f t="shared" si="2"/>
        <v>CAPTURED</v>
      </c>
      <c r="T7" s="2" t="str">
        <f>UPPER(TRIM(H7))</f>
        <v/>
      </c>
      <c r="U7" s="2">
        <f>VALUE(SUBSTITUTE(SUBSTITUTE(G7,"score:",""),"risk-",""))</f>
        <v>64</v>
      </c>
      <c r="V7" s="2" t="str">
        <f t="shared" si="3"/>
        <v>46083|INR</v>
      </c>
      <c r="W7" s="2">
        <f>D7 * INDEX(exchange_rates!$C$2:$C$19, MATCH(V7, exchange_rates!$D$2:$D$19, 0))</f>
        <v>3300</v>
      </c>
      <c r="X7" s="2">
        <f t="shared" si="4"/>
        <v>0</v>
      </c>
      <c r="Y7" s="2">
        <f t="shared" si="5"/>
        <v>0</v>
      </c>
    </row>
    <row r="8" spans="1:25" x14ac:dyDescent="0.3">
      <c r="A8" t="s">
        <v>40</v>
      </c>
      <c r="B8" s="1">
        <v>46083</v>
      </c>
      <c r="C8" t="s">
        <v>41</v>
      </c>
      <c r="D8">
        <v>450000</v>
      </c>
      <c r="E8" t="s">
        <v>12</v>
      </c>
      <c r="F8" t="s">
        <v>42</v>
      </c>
      <c r="G8" t="s">
        <v>43</v>
      </c>
      <c r="H8" t="s">
        <v>26</v>
      </c>
      <c r="I8" t="s">
        <v>44</v>
      </c>
      <c r="J8" t="s">
        <v>22</v>
      </c>
      <c r="M8" s="2" t="str">
        <f t="shared" si="0"/>
        <v>Alpha Mart</v>
      </c>
      <c r="N8" s="2" t="str">
        <f>VLOOKUP(M8, merchant_master!$A$2:$F$6, 4, FALSE)</f>
        <v>Aisha Khan</v>
      </c>
      <c r="O8" s="2" t="str">
        <f>VLOOKUP(M8, merchant_master!$A$2:$F$6, 2, FALSE)</f>
        <v>M001</v>
      </c>
      <c r="P8" s="2" t="str">
        <f>VLOOKUP(M8, merchant_master!$A$2:$F$6, 5, FALSE)</f>
        <v>Grocery</v>
      </c>
      <c r="Q8" s="2" t="str">
        <f>VLOOKUP(M8, merchant_master!$A$2:$F$6, 6, FALSE)</f>
        <v>APAC</v>
      </c>
      <c r="R8" s="3">
        <f t="shared" si="1"/>
        <v>46083</v>
      </c>
      <c r="S8" s="2" t="str">
        <f t="shared" si="2"/>
        <v>CHARGEBACK</v>
      </c>
      <c r="T8" s="2" t="str">
        <f>UPPER(TRIM(H8))</f>
        <v>APAC</v>
      </c>
      <c r="U8" s="2">
        <f>VALUE(SUBSTITUTE(SUBSTITUTE(G8,"score:",""),"risk-",""))</f>
        <v>83</v>
      </c>
      <c r="V8" s="2" t="str">
        <f t="shared" si="3"/>
        <v>46083|INR</v>
      </c>
      <c r="W8" s="2">
        <f>D8 * INDEX(exchange_rates!$C$2:$C$19, MATCH(V8, exchange_rates!$D$2:$D$19, 0))</f>
        <v>5400</v>
      </c>
      <c r="X8" s="2">
        <f t="shared" si="4"/>
        <v>1</v>
      </c>
      <c r="Y8" s="2">
        <f t="shared" si="5"/>
        <v>1</v>
      </c>
    </row>
    <row r="9" spans="1:25" x14ac:dyDescent="0.3">
      <c r="A9" t="s">
        <v>45</v>
      </c>
      <c r="B9" s="1">
        <v>46084</v>
      </c>
      <c r="C9" t="s">
        <v>24</v>
      </c>
      <c r="D9">
        <v>340000</v>
      </c>
      <c r="E9" t="s">
        <v>12</v>
      </c>
      <c r="F9" t="s">
        <v>20</v>
      </c>
      <c r="G9">
        <v>59</v>
      </c>
      <c r="I9" t="s">
        <v>46</v>
      </c>
      <c r="J9" t="s">
        <v>17</v>
      </c>
      <c r="M9" s="2" t="str">
        <f t="shared" si="0"/>
        <v>Beta Stores</v>
      </c>
      <c r="N9" s="2" t="str">
        <f>VLOOKUP(M9, merchant_master!$A$2:$F$6, 4, FALSE)</f>
        <v>Rohan Mehta</v>
      </c>
      <c r="O9" s="2" t="str">
        <f>VLOOKUP(M9, merchant_master!$A$2:$F$6, 2, FALSE)</f>
        <v>M002</v>
      </c>
      <c r="P9" s="2" t="str">
        <f>VLOOKUP(M9, merchant_master!$A$2:$F$6, 5, FALSE)</f>
        <v>Electronics</v>
      </c>
      <c r="Q9" s="2" t="str">
        <f>VLOOKUP(M9, merchant_master!$A$2:$F$6, 6, FALSE)</f>
        <v>APAC</v>
      </c>
      <c r="R9" s="3">
        <f t="shared" si="1"/>
        <v>46084</v>
      </c>
      <c r="S9" s="2" t="str">
        <f t="shared" si="2"/>
        <v>CAPTURED</v>
      </c>
      <c r="T9" s="2" t="str">
        <f>UPPER(TRIM(H9))</f>
        <v/>
      </c>
      <c r="U9" s="2">
        <f>VALUE(SUBSTITUTE(SUBSTITUTE(G9,"score:",""),"risk-",""))</f>
        <v>59</v>
      </c>
      <c r="V9" s="2" t="str">
        <f t="shared" si="3"/>
        <v>46084|INR</v>
      </c>
      <c r="W9" s="2">
        <f>D9 * INDEX(exchange_rates!$C$2:$C$19, MATCH(V9, exchange_rates!$D$2:$D$19, 0))</f>
        <v>4114</v>
      </c>
      <c r="X9" s="2">
        <f t="shared" si="4"/>
        <v>0</v>
      </c>
      <c r="Y9" s="2">
        <f t="shared" si="5"/>
        <v>0</v>
      </c>
    </row>
    <row r="10" spans="1:25" x14ac:dyDescent="0.3">
      <c r="A10" t="s">
        <v>47</v>
      </c>
      <c r="B10" s="1">
        <v>46084</v>
      </c>
      <c r="C10" t="s">
        <v>35</v>
      </c>
      <c r="D10">
        <v>125000</v>
      </c>
      <c r="E10" t="s">
        <v>12</v>
      </c>
      <c r="F10" t="s">
        <v>13</v>
      </c>
      <c r="G10">
        <v>46</v>
      </c>
      <c r="H10" t="s">
        <v>15</v>
      </c>
      <c r="I10" t="s">
        <v>21</v>
      </c>
      <c r="J10" t="s">
        <v>39</v>
      </c>
      <c r="M10" s="2" t="str">
        <f t="shared" si="0"/>
        <v>Alpha Mart</v>
      </c>
      <c r="N10" s="2" t="str">
        <f>VLOOKUP(M10, merchant_master!$A$2:$F$6, 4, FALSE)</f>
        <v>Aisha Khan</v>
      </c>
      <c r="O10" s="2" t="str">
        <f>VLOOKUP(M10, merchant_master!$A$2:$F$6, 2, FALSE)</f>
        <v>M001</v>
      </c>
      <c r="P10" s="2" t="str">
        <f>VLOOKUP(M10, merchant_master!$A$2:$F$6, 5, FALSE)</f>
        <v>Grocery</v>
      </c>
      <c r="Q10" s="2" t="str">
        <f>VLOOKUP(M10, merchant_master!$A$2:$F$6, 6, FALSE)</f>
        <v>APAC</v>
      </c>
      <c r="R10" s="3">
        <f t="shared" si="1"/>
        <v>46084</v>
      </c>
      <c r="S10" s="2" t="str">
        <f t="shared" si="2"/>
        <v>CAPTURED</v>
      </c>
      <c r="T10" s="2" t="str">
        <f>UPPER(TRIM(H10))</f>
        <v>APAC</v>
      </c>
      <c r="U10" s="2">
        <f>VALUE(SUBSTITUTE(SUBSTITUTE(G10,"score:",""),"risk-",""))</f>
        <v>46</v>
      </c>
      <c r="V10" s="2" t="str">
        <f t="shared" si="3"/>
        <v>46084|INR</v>
      </c>
      <c r="W10" s="2">
        <f>D10 * INDEX(exchange_rates!$C$2:$C$19, MATCH(V10, exchange_rates!$D$2:$D$19, 0))</f>
        <v>1512.5</v>
      </c>
      <c r="X10" s="2">
        <f t="shared" si="4"/>
        <v>0</v>
      </c>
      <c r="Y10" s="2">
        <f t="shared" si="5"/>
        <v>0</v>
      </c>
    </row>
    <row r="11" spans="1:25" x14ac:dyDescent="0.3">
      <c r="A11" t="s">
        <v>48</v>
      </c>
      <c r="B11" s="1">
        <v>46084</v>
      </c>
      <c r="C11" t="s">
        <v>49</v>
      </c>
      <c r="D11">
        <v>610000</v>
      </c>
      <c r="E11" t="s">
        <v>12</v>
      </c>
      <c r="F11" t="s">
        <v>13</v>
      </c>
      <c r="G11" t="s">
        <v>50</v>
      </c>
      <c r="I11" t="s">
        <v>27</v>
      </c>
      <c r="J11" t="s">
        <v>22</v>
      </c>
      <c r="M11" s="2" t="str">
        <f t="shared" si="0"/>
        <v>Beta Stores</v>
      </c>
      <c r="N11" s="2" t="str">
        <f>VLOOKUP(M11, merchant_master!$A$2:$F$6, 4, FALSE)</f>
        <v>Rohan Mehta</v>
      </c>
      <c r="O11" s="2" t="str">
        <f>VLOOKUP(M11, merchant_master!$A$2:$F$6, 2, FALSE)</f>
        <v>M002</v>
      </c>
      <c r="P11" s="2" t="str">
        <f>VLOOKUP(M11, merchant_master!$A$2:$F$6, 5, FALSE)</f>
        <v>Electronics</v>
      </c>
      <c r="Q11" s="2" t="str">
        <f>VLOOKUP(M11, merchant_master!$A$2:$F$6, 6, FALSE)</f>
        <v>APAC</v>
      </c>
      <c r="R11" s="3">
        <f t="shared" si="1"/>
        <v>46084</v>
      </c>
      <c r="S11" s="2" t="str">
        <f t="shared" si="2"/>
        <v>CAPTURED</v>
      </c>
      <c r="T11" s="2" t="str">
        <f>UPPER(TRIM(H11))</f>
        <v/>
      </c>
      <c r="U11" s="2">
        <f>VALUE(SUBSTITUTE(SUBSTITUTE(G11,"score:",""),"risk-",""))</f>
        <v>77</v>
      </c>
      <c r="V11" s="2" t="str">
        <f t="shared" si="3"/>
        <v>46084|INR</v>
      </c>
      <c r="W11" s="2">
        <f>D11 * INDEX(exchange_rates!$C$2:$C$19, MATCH(V11, exchange_rates!$D$2:$D$19, 0))</f>
        <v>7381</v>
      </c>
      <c r="X11" s="2">
        <f t="shared" si="4"/>
        <v>1</v>
      </c>
      <c r="Y11" s="2">
        <f t="shared" si="5"/>
        <v>0</v>
      </c>
    </row>
    <row r="12" spans="1:25" x14ac:dyDescent="0.3">
      <c r="A12" t="s">
        <v>51</v>
      </c>
      <c r="B12" s="1">
        <v>46084</v>
      </c>
      <c r="C12" t="s">
        <v>41</v>
      </c>
      <c r="D12">
        <v>195000</v>
      </c>
      <c r="E12" t="s">
        <v>12</v>
      </c>
      <c r="F12" t="s">
        <v>52</v>
      </c>
      <c r="I12" t="s">
        <v>53</v>
      </c>
      <c r="J12" t="s">
        <v>17</v>
      </c>
      <c r="M12" s="2" t="str">
        <f t="shared" si="0"/>
        <v>Alpha Mart</v>
      </c>
      <c r="N12" s="2" t="str">
        <f>VLOOKUP(M12, merchant_master!$A$2:$F$6, 4, FALSE)</f>
        <v>Aisha Khan</v>
      </c>
      <c r="O12" s="2" t="str">
        <f>VLOOKUP(M12, merchant_master!$A$2:$F$6, 2, FALSE)</f>
        <v>M001</v>
      </c>
      <c r="P12" s="2" t="str">
        <f>VLOOKUP(M12, merchant_master!$A$2:$F$6, 5, FALSE)</f>
        <v>Grocery</v>
      </c>
      <c r="Q12" s="2" t="str">
        <f>VLOOKUP(M12, merchant_master!$A$2:$F$6, 6, FALSE)</f>
        <v>APAC</v>
      </c>
      <c r="R12" s="3">
        <f t="shared" si="1"/>
        <v>46084</v>
      </c>
      <c r="S12" s="2" t="str">
        <f t="shared" si="2"/>
        <v>FAILED</v>
      </c>
      <c r="T12" s="2" t="str">
        <f>UPPER(TRIM(H12))</f>
        <v/>
      </c>
      <c r="U12" s="2">
        <f>MEDIAN(U2:U11,U13:U31)</f>
        <v>61</v>
      </c>
      <c r="V12" s="2" t="str">
        <f t="shared" si="3"/>
        <v>46084|INR</v>
      </c>
      <c r="W12" s="2">
        <f>D12 * INDEX(exchange_rates!$C$2:$C$19, MATCH(V12, exchange_rates!$D$2:$D$19, 0))</f>
        <v>2359.5</v>
      </c>
      <c r="X12" s="2">
        <f t="shared" si="4"/>
        <v>0</v>
      </c>
      <c r="Y12" s="2">
        <f t="shared" si="5"/>
        <v>0</v>
      </c>
    </row>
    <row r="13" spans="1:25" x14ac:dyDescent="0.3">
      <c r="A13" t="s">
        <v>54</v>
      </c>
      <c r="B13" s="1">
        <v>46085</v>
      </c>
      <c r="C13" t="s">
        <v>30</v>
      </c>
      <c r="D13">
        <v>250000</v>
      </c>
      <c r="E13" t="s">
        <v>12</v>
      </c>
      <c r="F13" t="s">
        <v>55</v>
      </c>
      <c r="G13" t="s">
        <v>56</v>
      </c>
      <c r="H13" t="s">
        <v>26</v>
      </c>
      <c r="I13" t="s">
        <v>57</v>
      </c>
      <c r="J13" t="s">
        <v>22</v>
      </c>
      <c r="M13" s="2" t="str">
        <f t="shared" si="0"/>
        <v>Beta Stores</v>
      </c>
      <c r="N13" s="2" t="str">
        <f>VLOOKUP(M13, merchant_master!$A$2:$F$6, 4, FALSE)</f>
        <v>Rohan Mehta</v>
      </c>
      <c r="O13" s="2" t="str">
        <f>VLOOKUP(M13, merchant_master!$A$2:$F$6, 2, FALSE)</f>
        <v>M002</v>
      </c>
      <c r="P13" s="2" t="str">
        <f>VLOOKUP(M13, merchant_master!$A$2:$F$6, 5, FALSE)</f>
        <v>Electronics</v>
      </c>
      <c r="Q13" s="2" t="str">
        <f>VLOOKUP(M13, merchant_master!$A$2:$F$6, 6, FALSE)</f>
        <v>APAC</v>
      </c>
      <c r="R13" s="3">
        <f t="shared" si="1"/>
        <v>46085</v>
      </c>
      <c r="S13" s="2" t="str">
        <f t="shared" si="2"/>
        <v>CAPTURED</v>
      </c>
      <c r="T13" s="2" t="str">
        <f>UPPER(TRIM(H13))</f>
        <v>APAC</v>
      </c>
      <c r="U13" s="2">
        <f>VALUE(SUBSTITUTE(SUBSTITUTE(G13,"score:",""),"risk-",""))</f>
        <v>61</v>
      </c>
      <c r="V13" s="2" t="str">
        <f t="shared" si="3"/>
        <v>46085|INR</v>
      </c>
      <c r="W13" s="2">
        <f>D13 * INDEX(exchange_rates!$C$2:$C$19, MATCH(V13, exchange_rates!$D$2:$D$19, 0))</f>
        <v>3000</v>
      </c>
      <c r="X13" s="2">
        <f t="shared" si="4"/>
        <v>0</v>
      </c>
      <c r="Y13" s="2">
        <f t="shared" si="5"/>
        <v>0</v>
      </c>
    </row>
    <row r="14" spans="1:25" x14ac:dyDescent="0.3">
      <c r="A14" t="s">
        <v>58</v>
      </c>
      <c r="B14" s="1">
        <v>46085</v>
      </c>
      <c r="C14" t="s">
        <v>11</v>
      </c>
      <c r="D14">
        <v>310000</v>
      </c>
      <c r="E14" t="s">
        <v>12</v>
      </c>
      <c r="F14" t="s">
        <v>55</v>
      </c>
      <c r="G14" t="s">
        <v>59</v>
      </c>
      <c r="H14" t="s">
        <v>15</v>
      </c>
      <c r="I14" t="s">
        <v>60</v>
      </c>
      <c r="J14" t="s">
        <v>17</v>
      </c>
      <c r="M14" s="2" t="str">
        <f t="shared" si="0"/>
        <v>Alpha Mart</v>
      </c>
      <c r="N14" s="2" t="str">
        <f>VLOOKUP(M14, merchant_master!$A$2:$F$6, 4, FALSE)</f>
        <v>Aisha Khan</v>
      </c>
      <c r="O14" s="2" t="str">
        <f>VLOOKUP(M14, merchant_master!$A$2:$F$6, 2, FALSE)</f>
        <v>M001</v>
      </c>
      <c r="P14" s="2" t="str">
        <f>VLOOKUP(M14, merchant_master!$A$2:$F$6, 5, FALSE)</f>
        <v>Grocery</v>
      </c>
      <c r="Q14" s="2" t="str">
        <f>VLOOKUP(M14, merchant_master!$A$2:$F$6, 6, FALSE)</f>
        <v>APAC</v>
      </c>
      <c r="R14" s="3">
        <f t="shared" si="1"/>
        <v>46085</v>
      </c>
      <c r="S14" s="2" t="str">
        <f t="shared" si="2"/>
        <v>CAPTURED</v>
      </c>
      <c r="T14" s="2" t="str">
        <f>UPPER(TRIM(H14))</f>
        <v>APAC</v>
      </c>
      <c r="U14" s="2">
        <f>VALUE(SUBSTITUTE(SUBSTITUTE(G14,"score:",""),"risk-",""))</f>
        <v>54</v>
      </c>
      <c r="V14" s="2" t="str">
        <f t="shared" si="3"/>
        <v>46085|INR</v>
      </c>
      <c r="W14" s="2">
        <f>D14 * INDEX(exchange_rates!$C$2:$C$19, MATCH(V14, exchange_rates!$D$2:$D$19, 0))</f>
        <v>3720</v>
      </c>
      <c r="X14" s="2">
        <f t="shared" si="4"/>
        <v>0</v>
      </c>
      <c r="Y14" s="2">
        <f t="shared" si="5"/>
        <v>0</v>
      </c>
    </row>
    <row r="15" spans="1:25" x14ac:dyDescent="0.3">
      <c r="A15" t="s">
        <v>61</v>
      </c>
      <c r="B15" s="1">
        <v>46085</v>
      </c>
      <c r="C15" t="s">
        <v>30</v>
      </c>
      <c r="D15">
        <v>470000</v>
      </c>
      <c r="E15" t="s">
        <v>12</v>
      </c>
      <c r="F15" t="s">
        <v>55</v>
      </c>
      <c r="G15" t="s">
        <v>62</v>
      </c>
      <c r="H15" t="s">
        <v>15</v>
      </c>
      <c r="I15" t="s">
        <v>16</v>
      </c>
      <c r="J15" t="s">
        <v>28</v>
      </c>
      <c r="M15" s="2" t="str">
        <f t="shared" si="0"/>
        <v>Beta Stores</v>
      </c>
      <c r="N15" s="2" t="str">
        <f>VLOOKUP(M15, merchant_master!$A$2:$F$6, 4, FALSE)</f>
        <v>Rohan Mehta</v>
      </c>
      <c r="O15" s="2" t="str">
        <f>VLOOKUP(M15, merchant_master!$A$2:$F$6, 2, FALSE)</f>
        <v>M002</v>
      </c>
      <c r="P15" s="2" t="str">
        <f>VLOOKUP(M15, merchant_master!$A$2:$F$6, 5, FALSE)</f>
        <v>Electronics</v>
      </c>
      <c r="Q15" s="2" t="str">
        <f>VLOOKUP(M15, merchant_master!$A$2:$F$6, 6, FALSE)</f>
        <v>APAC</v>
      </c>
      <c r="R15" s="3">
        <f t="shared" si="1"/>
        <v>46085</v>
      </c>
      <c r="S15" s="2" t="str">
        <f t="shared" si="2"/>
        <v>CAPTURED</v>
      </c>
      <c r="T15" s="2" t="str">
        <f>UPPER(TRIM(H15))</f>
        <v>APAC</v>
      </c>
      <c r="U15" s="2">
        <f>VALUE(SUBSTITUTE(SUBSTITUTE(G15,"score:",""),"risk-",""))</f>
        <v>73</v>
      </c>
      <c r="V15" s="2" t="str">
        <f t="shared" si="3"/>
        <v>46085|INR</v>
      </c>
      <c r="W15" s="2">
        <f>D15 * INDEX(exchange_rates!$C$2:$C$19, MATCH(V15, exchange_rates!$D$2:$D$19, 0))</f>
        <v>5640</v>
      </c>
      <c r="X15" s="2">
        <f t="shared" si="4"/>
        <v>1</v>
      </c>
      <c r="Y15" s="2">
        <f t="shared" si="5"/>
        <v>1</v>
      </c>
    </row>
    <row r="16" spans="1:25" x14ac:dyDescent="0.3">
      <c r="A16" t="s">
        <v>63</v>
      </c>
      <c r="B16" s="1">
        <v>46085</v>
      </c>
      <c r="C16" t="s">
        <v>35</v>
      </c>
      <c r="D16">
        <v>130000</v>
      </c>
      <c r="E16" t="s">
        <v>12</v>
      </c>
      <c r="F16" t="s">
        <v>13</v>
      </c>
      <c r="G16" t="s">
        <v>64</v>
      </c>
      <c r="I16" t="s">
        <v>21</v>
      </c>
      <c r="J16" t="s">
        <v>22</v>
      </c>
      <c r="M16" s="2" t="str">
        <f t="shared" si="0"/>
        <v>Alpha Mart</v>
      </c>
      <c r="N16" s="2" t="str">
        <f>VLOOKUP(M16, merchant_master!$A$2:$F$6, 4, FALSE)</f>
        <v>Aisha Khan</v>
      </c>
      <c r="O16" s="2" t="str">
        <f>VLOOKUP(M16, merchant_master!$A$2:$F$6, 2, FALSE)</f>
        <v>M001</v>
      </c>
      <c r="P16" s="2" t="str">
        <f>VLOOKUP(M16, merchant_master!$A$2:$F$6, 5, FALSE)</f>
        <v>Grocery</v>
      </c>
      <c r="Q16" s="2" t="str">
        <f>VLOOKUP(M16, merchant_master!$A$2:$F$6, 6, FALSE)</f>
        <v>APAC</v>
      </c>
      <c r="R16" s="3">
        <f t="shared" si="1"/>
        <v>46085</v>
      </c>
      <c r="S16" s="2" t="str">
        <f t="shared" si="2"/>
        <v>CAPTURED</v>
      </c>
      <c r="T16" s="2" t="str">
        <f>UPPER(TRIM(H16))</f>
        <v/>
      </c>
      <c r="U16" s="2">
        <f>VALUE(SUBSTITUTE(SUBSTITUTE(G16,"score:",""),"risk-",""))</f>
        <v>52</v>
      </c>
      <c r="V16" s="2" t="str">
        <f t="shared" si="3"/>
        <v>46085|INR</v>
      </c>
      <c r="W16" s="2">
        <f>D16 * INDEX(exchange_rates!$C$2:$C$19, MATCH(V16, exchange_rates!$D$2:$D$19, 0))</f>
        <v>1560</v>
      </c>
      <c r="X16" s="2">
        <f t="shared" si="4"/>
        <v>0</v>
      </c>
      <c r="Y16" s="2">
        <f t="shared" si="5"/>
        <v>0</v>
      </c>
    </row>
    <row r="17" spans="1:25" x14ac:dyDescent="0.3">
      <c r="A17" t="s">
        <v>65</v>
      </c>
      <c r="B17" s="1">
        <v>46086</v>
      </c>
      <c r="C17" t="s">
        <v>30</v>
      </c>
      <c r="D17">
        <v>220000</v>
      </c>
      <c r="E17" t="s">
        <v>12</v>
      </c>
      <c r="F17" t="s">
        <v>66</v>
      </c>
      <c r="G17" t="s">
        <v>67</v>
      </c>
      <c r="I17" t="s">
        <v>53</v>
      </c>
      <c r="J17" t="s">
        <v>22</v>
      </c>
      <c r="M17" s="2" t="str">
        <f t="shared" si="0"/>
        <v>Beta Stores</v>
      </c>
      <c r="N17" s="2" t="str">
        <f>VLOOKUP(M17, merchant_master!$A$2:$F$6, 4, FALSE)</f>
        <v>Rohan Mehta</v>
      </c>
      <c r="O17" s="2" t="str">
        <f>VLOOKUP(M17, merchant_master!$A$2:$F$6, 2, FALSE)</f>
        <v>M002</v>
      </c>
      <c r="P17" s="2" t="str">
        <f>VLOOKUP(M17, merchant_master!$A$2:$F$6, 5, FALSE)</f>
        <v>Electronics</v>
      </c>
      <c r="Q17" s="2" t="str">
        <f>VLOOKUP(M17, merchant_master!$A$2:$F$6, 6, FALSE)</f>
        <v>APAC</v>
      </c>
      <c r="R17" s="3">
        <f t="shared" si="1"/>
        <v>46086</v>
      </c>
      <c r="S17" s="2" t="str">
        <f t="shared" si="2"/>
        <v>FAILED</v>
      </c>
      <c r="T17" s="2" t="str">
        <f>UPPER(TRIM(H17))</f>
        <v/>
      </c>
      <c r="U17" s="2">
        <f>VALUE(SUBSTITUTE(SUBSTITUTE(G17,"score:",""),"risk-",""))</f>
        <v>69</v>
      </c>
      <c r="V17" s="2" t="str">
        <f t="shared" si="3"/>
        <v>46086|INR</v>
      </c>
      <c r="W17" s="2">
        <f>D17 * INDEX(exchange_rates!$C$2:$C$19, MATCH(V17, exchange_rates!$D$2:$D$19, 0))</f>
        <v>2596</v>
      </c>
      <c r="X17" s="2">
        <f t="shared" si="4"/>
        <v>0</v>
      </c>
      <c r="Y17" s="2">
        <f t="shared" si="5"/>
        <v>0</v>
      </c>
    </row>
    <row r="18" spans="1:25" x14ac:dyDescent="0.3">
      <c r="A18" t="s">
        <v>68</v>
      </c>
      <c r="B18" s="1">
        <v>46086</v>
      </c>
      <c r="C18" t="s">
        <v>30</v>
      </c>
      <c r="D18">
        <v>180000</v>
      </c>
      <c r="E18" t="s">
        <v>12</v>
      </c>
      <c r="F18" t="s">
        <v>69</v>
      </c>
      <c r="G18" t="s">
        <v>70</v>
      </c>
      <c r="H18" t="s">
        <v>32</v>
      </c>
      <c r="I18" t="s">
        <v>53</v>
      </c>
      <c r="J18" t="s">
        <v>22</v>
      </c>
      <c r="M18" s="2" t="str">
        <f t="shared" si="0"/>
        <v>Beta Stores</v>
      </c>
      <c r="N18" s="2" t="str">
        <f>VLOOKUP(M18, merchant_master!$A$2:$F$6, 4, FALSE)</f>
        <v>Rohan Mehta</v>
      </c>
      <c r="O18" s="2" t="str">
        <f>VLOOKUP(M18, merchant_master!$A$2:$F$6, 2, FALSE)</f>
        <v>M002</v>
      </c>
      <c r="P18" s="2" t="str">
        <f>VLOOKUP(M18, merchant_master!$A$2:$F$6, 5, FALSE)</f>
        <v>Electronics</v>
      </c>
      <c r="Q18" s="2" t="str">
        <f>VLOOKUP(M18, merchant_master!$A$2:$F$6, 6, FALSE)</f>
        <v>APAC</v>
      </c>
      <c r="R18" s="3">
        <f t="shared" si="1"/>
        <v>46086</v>
      </c>
      <c r="S18" s="2" t="str">
        <f t="shared" si="2"/>
        <v>FAILED</v>
      </c>
      <c r="T18" s="2" t="str">
        <f>UPPER(TRIM(H18))</f>
        <v>APAC</v>
      </c>
      <c r="U18" s="2">
        <f>VALUE(SUBSTITUTE(SUBSTITUTE(G18,"score:",""),"risk-",""))</f>
        <v>72</v>
      </c>
      <c r="V18" s="2" t="str">
        <f t="shared" si="3"/>
        <v>46086|INR</v>
      </c>
      <c r="W18" s="2">
        <f>D18 * INDEX(exchange_rates!$C$2:$C$19, MATCH(V18, exchange_rates!$D$2:$D$19, 0))</f>
        <v>2124</v>
      </c>
      <c r="X18" s="2">
        <f t="shared" si="4"/>
        <v>1</v>
      </c>
      <c r="Y18" s="2">
        <f t="shared" si="5"/>
        <v>0</v>
      </c>
    </row>
    <row r="19" spans="1:25" x14ac:dyDescent="0.3">
      <c r="A19" t="s">
        <v>71</v>
      </c>
      <c r="B19" s="1">
        <v>46086</v>
      </c>
      <c r="C19" t="s">
        <v>24</v>
      </c>
      <c r="D19">
        <v>145000</v>
      </c>
      <c r="E19" t="s">
        <v>12</v>
      </c>
      <c r="F19" t="s">
        <v>72</v>
      </c>
      <c r="G19" t="s">
        <v>73</v>
      </c>
      <c r="H19" t="s">
        <v>26</v>
      </c>
      <c r="I19" t="s">
        <v>53</v>
      </c>
      <c r="J19" t="s">
        <v>17</v>
      </c>
      <c r="M19" s="2" t="str">
        <f t="shared" si="0"/>
        <v>Beta Stores</v>
      </c>
      <c r="N19" s="2" t="str">
        <f>VLOOKUP(M19, merchant_master!$A$2:$F$6, 4, FALSE)</f>
        <v>Rohan Mehta</v>
      </c>
      <c r="O19" s="2" t="str">
        <f>VLOOKUP(M19, merchant_master!$A$2:$F$6, 2, FALSE)</f>
        <v>M002</v>
      </c>
      <c r="P19" s="2" t="str">
        <f>VLOOKUP(M19, merchant_master!$A$2:$F$6, 5, FALSE)</f>
        <v>Electronics</v>
      </c>
      <c r="Q19" s="2" t="str">
        <f>VLOOKUP(M19, merchant_master!$A$2:$F$6, 6, FALSE)</f>
        <v>APAC</v>
      </c>
      <c r="R19" s="3">
        <f t="shared" si="1"/>
        <v>46086</v>
      </c>
      <c r="S19" s="2" t="str">
        <f t="shared" si="2"/>
        <v>CHARGEBACK</v>
      </c>
      <c r="T19" s="2" t="str">
        <f>UPPER(TRIM(H19))</f>
        <v>APAC</v>
      </c>
      <c r="U19" s="2">
        <f>VALUE(SUBSTITUTE(SUBSTITUTE(G19,"score:",""),"risk-",""))</f>
        <v>86</v>
      </c>
      <c r="V19" s="2" t="str">
        <f t="shared" si="3"/>
        <v>46086|INR</v>
      </c>
      <c r="W19" s="2">
        <f>D19 * INDEX(exchange_rates!$C$2:$C$19, MATCH(V19, exchange_rates!$D$2:$D$19, 0))</f>
        <v>1711</v>
      </c>
      <c r="X19" s="2">
        <f t="shared" si="4"/>
        <v>1</v>
      </c>
      <c r="Y19" s="2">
        <f t="shared" si="5"/>
        <v>0</v>
      </c>
    </row>
    <row r="20" spans="1:25" x14ac:dyDescent="0.3">
      <c r="A20" t="s">
        <v>74</v>
      </c>
      <c r="B20" s="1">
        <v>46086</v>
      </c>
      <c r="C20" t="s">
        <v>41</v>
      </c>
      <c r="D20">
        <v>260000</v>
      </c>
      <c r="E20" t="s">
        <v>12</v>
      </c>
      <c r="F20" t="s">
        <v>69</v>
      </c>
      <c r="G20" t="s">
        <v>75</v>
      </c>
      <c r="H20" t="s">
        <v>32</v>
      </c>
      <c r="I20" t="s">
        <v>53</v>
      </c>
      <c r="J20" t="s">
        <v>39</v>
      </c>
      <c r="M20" s="2" t="str">
        <f t="shared" si="0"/>
        <v>Alpha Mart</v>
      </c>
      <c r="N20" s="2" t="str">
        <f>VLOOKUP(M20, merchant_master!$A$2:$F$6, 4, FALSE)</f>
        <v>Aisha Khan</v>
      </c>
      <c r="O20" s="2" t="str">
        <f>VLOOKUP(M20, merchant_master!$A$2:$F$6, 2, FALSE)</f>
        <v>M001</v>
      </c>
      <c r="P20" s="2" t="str">
        <f>VLOOKUP(M20, merchant_master!$A$2:$F$6, 5, FALSE)</f>
        <v>Grocery</v>
      </c>
      <c r="Q20" s="2" t="str">
        <f>VLOOKUP(M20, merchant_master!$A$2:$F$6, 6, FALSE)</f>
        <v>APAC</v>
      </c>
      <c r="R20" s="3">
        <f t="shared" si="1"/>
        <v>46086</v>
      </c>
      <c r="S20" s="2" t="str">
        <f t="shared" si="2"/>
        <v>FAILED</v>
      </c>
      <c r="T20" s="2" t="str">
        <f>UPPER(TRIM(H20))</f>
        <v>APAC</v>
      </c>
      <c r="U20" s="2">
        <f>VALUE(SUBSTITUTE(SUBSTITUTE(G20,"score:",""),"risk-",""))</f>
        <v>67</v>
      </c>
      <c r="V20" s="2" t="str">
        <f t="shared" si="3"/>
        <v>46086|INR</v>
      </c>
      <c r="W20" s="2">
        <f>D20 * INDEX(exchange_rates!$C$2:$C$19, MATCH(V20, exchange_rates!$D$2:$D$19, 0))</f>
        <v>3068</v>
      </c>
      <c r="X20" s="2">
        <f t="shared" si="4"/>
        <v>0</v>
      </c>
      <c r="Y20" s="2">
        <f t="shared" si="5"/>
        <v>0</v>
      </c>
    </row>
    <row r="21" spans="1:25" x14ac:dyDescent="0.3">
      <c r="A21" t="s">
        <v>76</v>
      </c>
      <c r="B21" s="1">
        <v>46086</v>
      </c>
      <c r="C21" t="s">
        <v>35</v>
      </c>
      <c r="D21">
        <v>520000</v>
      </c>
      <c r="E21" t="s">
        <v>12</v>
      </c>
      <c r="F21" t="s">
        <v>20</v>
      </c>
      <c r="G21">
        <v>75</v>
      </c>
      <c r="H21" t="s">
        <v>15</v>
      </c>
      <c r="I21" t="s">
        <v>38</v>
      </c>
      <c r="J21" t="s">
        <v>17</v>
      </c>
      <c r="M21" s="2" t="str">
        <f t="shared" si="0"/>
        <v>Alpha Mart</v>
      </c>
      <c r="N21" s="2" t="str">
        <f>VLOOKUP(M21, merchant_master!$A$2:$F$6, 4, FALSE)</f>
        <v>Aisha Khan</v>
      </c>
      <c r="O21" s="2" t="str">
        <f>VLOOKUP(M21, merchant_master!$A$2:$F$6, 2, FALSE)</f>
        <v>M001</v>
      </c>
      <c r="P21" s="2" t="str">
        <f>VLOOKUP(M21, merchant_master!$A$2:$F$6, 5, FALSE)</f>
        <v>Grocery</v>
      </c>
      <c r="Q21" s="2" t="str">
        <f>VLOOKUP(M21, merchant_master!$A$2:$F$6, 6, FALSE)</f>
        <v>APAC</v>
      </c>
      <c r="R21" s="3">
        <f t="shared" si="1"/>
        <v>46086</v>
      </c>
      <c r="S21" s="2" t="str">
        <f t="shared" si="2"/>
        <v>CAPTURED</v>
      </c>
      <c r="T21" s="2" t="str">
        <f>UPPER(TRIM(H21))</f>
        <v>APAC</v>
      </c>
      <c r="U21" s="2">
        <f>VALUE(SUBSTITUTE(SUBSTITUTE(G21,"score:",""),"risk-",""))</f>
        <v>75</v>
      </c>
      <c r="V21" s="2" t="str">
        <f t="shared" si="3"/>
        <v>46086|INR</v>
      </c>
      <c r="W21" s="2">
        <f>D21 * INDEX(exchange_rates!$C$2:$C$19, MATCH(V21, exchange_rates!$D$2:$D$19, 0))</f>
        <v>6136</v>
      </c>
      <c r="X21" s="2">
        <f t="shared" si="4"/>
        <v>1</v>
      </c>
      <c r="Y21" s="2">
        <f t="shared" si="5"/>
        <v>1</v>
      </c>
    </row>
    <row r="22" spans="1:25" x14ac:dyDescent="0.3">
      <c r="A22" t="s">
        <v>77</v>
      </c>
      <c r="B22" s="1">
        <v>46087</v>
      </c>
      <c r="C22" t="s">
        <v>78</v>
      </c>
      <c r="D22">
        <v>330000</v>
      </c>
      <c r="E22" t="s">
        <v>12</v>
      </c>
      <c r="F22" t="s">
        <v>55</v>
      </c>
      <c r="G22" t="s">
        <v>79</v>
      </c>
      <c r="I22" t="s">
        <v>44</v>
      </c>
      <c r="J22" t="s">
        <v>22</v>
      </c>
      <c r="M22" s="2" t="str">
        <f t="shared" si="0"/>
        <v>Beta Stores</v>
      </c>
      <c r="N22" s="2" t="str">
        <f>VLOOKUP(M22, merchant_master!$A$2:$F$6, 4, FALSE)</f>
        <v>Rohan Mehta</v>
      </c>
      <c r="O22" s="2" t="str">
        <f>VLOOKUP(M22, merchant_master!$A$2:$F$6, 2, FALSE)</f>
        <v>M002</v>
      </c>
      <c r="P22" s="2" t="str">
        <f>VLOOKUP(M22, merchant_master!$A$2:$F$6, 5, FALSE)</f>
        <v>Electronics</v>
      </c>
      <c r="Q22" s="2" t="str">
        <f>VLOOKUP(M22, merchant_master!$A$2:$F$6, 6, FALSE)</f>
        <v>APAC</v>
      </c>
      <c r="R22" s="3">
        <f t="shared" si="1"/>
        <v>46087</v>
      </c>
      <c r="S22" s="2" t="str">
        <f t="shared" si="2"/>
        <v>CAPTURED</v>
      </c>
      <c r="T22" s="2" t="str">
        <f>UPPER(TRIM(H22))</f>
        <v/>
      </c>
      <c r="U22" s="2">
        <f>VALUE(SUBSTITUTE(SUBSTITUTE(G22,"score:",""),"risk-",""))</f>
        <v>63</v>
      </c>
      <c r="V22" s="2" t="str">
        <f t="shared" si="3"/>
        <v>46087|INR</v>
      </c>
      <c r="W22" s="2">
        <f>D22 * INDEX(exchange_rates!$C$2:$C$19, MATCH(V22, exchange_rates!$D$2:$D$19, 0))</f>
        <v>3927.0000000000005</v>
      </c>
      <c r="X22" s="2">
        <f t="shared" si="4"/>
        <v>0</v>
      </c>
      <c r="Y22" s="2">
        <f t="shared" si="5"/>
        <v>0</v>
      </c>
    </row>
    <row r="23" spans="1:25" x14ac:dyDescent="0.3">
      <c r="A23" t="s">
        <v>80</v>
      </c>
      <c r="B23" s="1">
        <v>46087</v>
      </c>
      <c r="C23" t="s">
        <v>19</v>
      </c>
      <c r="D23">
        <v>410000</v>
      </c>
      <c r="E23" t="s">
        <v>12</v>
      </c>
      <c r="F23" t="s">
        <v>55</v>
      </c>
      <c r="G23">
        <v>60</v>
      </c>
      <c r="H23" t="s">
        <v>15</v>
      </c>
      <c r="I23" t="s">
        <v>46</v>
      </c>
      <c r="J23" t="s">
        <v>17</v>
      </c>
      <c r="M23" s="2" t="str">
        <f t="shared" si="0"/>
        <v>Alpha Mart</v>
      </c>
      <c r="N23" s="2" t="str">
        <f>VLOOKUP(M23, merchant_master!$A$2:$F$6, 4, FALSE)</f>
        <v>Aisha Khan</v>
      </c>
      <c r="O23" s="2" t="str">
        <f>VLOOKUP(M23, merchant_master!$A$2:$F$6, 2, FALSE)</f>
        <v>M001</v>
      </c>
      <c r="P23" s="2" t="str">
        <f>VLOOKUP(M23, merchant_master!$A$2:$F$6, 5, FALSE)</f>
        <v>Grocery</v>
      </c>
      <c r="Q23" s="2" t="str">
        <f>VLOOKUP(M23, merchant_master!$A$2:$F$6, 6, FALSE)</f>
        <v>APAC</v>
      </c>
      <c r="R23" s="3">
        <f t="shared" si="1"/>
        <v>46087</v>
      </c>
      <c r="S23" s="2" t="str">
        <f t="shared" si="2"/>
        <v>CAPTURED</v>
      </c>
      <c r="T23" s="2" t="str">
        <f>UPPER(TRIM(H23))</f>
        <v>APAC</v>
      </c>
      <c r="U23" s="2">
        <f>VALUE(SUBSTITUTE(SUBSTITUTE(G23,"score:",""),"risk-",""))</f>
        <v>60</v>
      </c>
      <c r="V23" s="2" t="str">
        <f t="shared" si="3"/>
        <v>46087|INR</v>
      </c>
      <c r="W23" s="2">
        <f>D23 * INDEX(exchange_rates!$C$2:$C$19, MATCH(V23, exchange_rates!$D$2:$D$19, 0))</f>
        <v>4879</v>
      </c>
      <c r="X23" s="2">
        <f t="shared" si="4"/>
        <v>0</v>
      </c>
      <c r="Y23" s="2">
        <f t="shared" si="5"/>
        <v>0</v>
      </c>
    </row>
    <row r="24" spans="1:25" x14ac:dyDescent="0.3">
      <c r="A24" t="s">
        <v>81</v>
      </c>
      <c r="B24" s="1">
        <v>46082</v>
      </c>
      <c r="C24" t="s">
        <v>82</v>
      </c>
      <c r="D24">
        <v>5200</v>
      </c>
      <c r="E24" t="s">
        <v>83</v>
      </c>
      <c r="F24" t="s">
        <v>20</v>
      </c>
      <c r="G24">
        <v>42</v>
      </c>
      <c r="H24" t="s">
        <v>84</v>
      </c>
      <c r="I24" t="s">
        <v>27</v>
      </c>
      <c r="J24" t="s">
        <v>22</v>
      </c>
      <c r="M24" s="2" t="str">
        <f t="shared" si="0"/>
        <v>City Pharma</v>
      </c>
      <c r="N24" s="2" t="str">
        <f>VLOOKUP(M24, merchant_master!$A$2:$F$6, 4, FALSE)</f>
        <v>Elena Rossi</v>
      </c>
      <c r="O24" s="2" t="str">
        <f>VLOOKUP(M24, merchant_master!$A$2:$F$6, 2, FALSE)</f>
        <v>M003</v>
      </c>
      <c r="P24" s="2" t="str">
        <f>VLOOKUP(M24, merchant_master!$A$2:$F$6, 5, FALSE)</f>
        <v>Healthcare</v>
      </c>
      <c r="Q24" s="2" t="str">
        <f>VLOOKUP(M24, merchant_master!$A$2:$F$6, 6, FALSE)</f>
        <v>EU</v>
      </c>
      <c r="R24" s="3">
        <f t="shared" si="1"/>
        <v>46082</v>
      </c>
      <c r="S24" s="2" t="str">
        <f t="shared" si="2"/>
        <v>CAPTURED</v>
      </c>
      <c r="T24" s="2" t="str">
        <f>UPPER(TRIM(H24))</f>
        <v>EU</v>
      </c>
      <c r="U24" s="2">
        <f>VALUE(SUBSTITUTE(SUBSTITUTE(G24,"score:",""),"risk-",""))</f>
        <v>42</v>
      </c>
      <c r="V24" s="2" t="str">
        <f t="shared" si="3"/>
        <v>46082|EUR</v>
      </c>
      <c r="W24" s="2">
        <f>D24 * INDEX(exchange_rates!$C$2:$C$19, MATCH(V24, exchange_rates!$D$2:$D$19, 0))</f>
        <v>5616</v>
      </c>
      <c r="X24" s="2">
        <f t="shared" si="4"/>
        <v>0</v>
      </c>
      <c r="Y24" s="2">
        <f t="shared" si="5"/>
        <v>0</v>
      </c>
    </row>
    <row r="25" spans="1:25" x14ac:dyDescent="0.3">
      <c r="A25" t="s">
        <v>85</v>
      </c>
      <c r="B25" s="1">
        <v>46083</v>
      </c>
      <c r="C25" t="s">
        <v>86</v>
      </c>
      <c r="D25">
        <v>6100</v>
      </c>
      <c r="E25" t="s">
        <v>83</v>
      </c>
      <c r="F25" t="s">
        <v>72</v>
      </c>
      <c r="G25" t="s">
        <v>87</v>
      </c>
      <c r="H25" t="s">
        <v>88</v>
      </c>
      <c r="I25" t="s">
        <v>33</v>
      </c>
      <c r="J25" t="s">
        <v>22</v>
      </c>
      <c r="M25" s="2" t="str">
        <f t="shared" si="0"/>
        <v>Eco Home</v>
      </c>
      <c r="N25" s="2" t="str">
        <f>VLOOKUP(M25, merchant_master!$A$2:$F$6, 4, FALSE)</f>
        <v>Nina Weber</v>
      </c>
      <c r="O25" s="2" t="str">
        <f>VLOOKUP(M25, merchant_master!$A$2:$F$6, 2, FALSE)</f>
        <v>M005</v>
      </c>
      <c r="P25" s="2" t="str">
        <f>VLOOKUP(M25, merchant_master!$A$2:$F$6, 5, FALSE)</f>
        <v>Home</v>
      </c>
      <c r="Q25" s="2" t="str">
        <f>VLOOKUP(M25, merchant_master!$A$2:$F$6, 6, FALSE)</f>
        <v>EU</v>
      </c>
      <c r="R25" s="3">
        <f t="shared" si="1"/>
        <v>46083</v>
      </c>
      <c r="S25" s="2" t="str">
        <f t="shared" si="2"/>
        <v>CHARGEBACK</v>
      </c>
      <c r="T25" s="2" t="str">
        <f>UPPER(TRIM(H25))</f>
        <v>EU</v>
      </c>
      <c r="U25" s="2">
        <f>VALUE(SUBSTITUTE(SUBSTITUTE(G25,"score:",""),"risk-",""))</f>
        <v>65</v>
      </c>
      <c r="V25" s="2" t="str">
        <f t="shared" si="3"/>
        <v>46083|EUR</v>
      </c>
      <c r="W25" s="2">
        <f>D25 * INDEX(exchange_rates!$C$2:$C$19, MATCH(V25, exchange_rates!$D$2:$D$19, 0))</f>
        <v>6649.0000000000009</v>
      </c>
      <c r="X25" s="2">
        <f t="shared" si="4"/>
        <v>1</v>
      </c>
      <c r="Y25" s="2">
        <f t="shared" si="5"/>
        <v>1</v>
      </c>
    </row>
    <row r="26" spans="1:25" x14ac:dyDescent="0.3">
      <c r="A26" t="s">
        <v>89</v>
      </c>
      <c r="B26" s="1">
        <v>46084</v>
      </c>
      <c r="C26" t="s">
        <v>82</v>
      </c>
      <c r="D26">
        <v>2800</v>
      </c>
      <c r="E26" t="s">
        <v>83</v>
      </c>
      <c r="F26" t="s">
        <v>55</v>
      </c>
      <c r="G26">
        <v>38</v>
      </c>
      <c r="H26" t="s">
        <v>90</v>
      </c>
      <c r="I26" t="s">
        <v>38</v>
      </c>
      <c r="J26" t="s">
        <v>39</v>
      </c>
      <c r="M26" s="2" t="str">
        <f t="shared" si="0"/>
        <v>City Pharma</v>
      </c>
      <c r="N26" s="2" t="str">
        <f>VLOOKUP(M26, merchant_master!$A$2:$F$6, 4, FALSE)</f>
        <v>Elena Rossi</v>
      </c>
      <c r="O26" s="2" t="str">
        <f>VLOOKUP(M26, merchant_master!$A$2:$F$6, 2, FALSE)</f>
        <v>M003</v>
      </c>
      <c r="P26" s="2" t="str">
        <f>VLOOKUP(M26, merchant_master!$A$2:$F$6, 5, FALSE)</f>
        <v>Healthcare</v>
      </c>
      <c r="Q26" s="2" t="str">
        <f>VLOOKUP(M26, merchant_master!$A$2:$F$6, 6, FALSE)</f>
        <v>EU</v>
      </c>
      <c r="R26" s="3">
        <f t="shared" si="1"/>
        <v>46084</v>
      </c>
      <c r="S26" s="2" t="str">
        <f t="shared" si="2"/>
        <v>CAPTURED</v>
      </c>
      <c r="T26" s="2" t="str">
        <f>UPPER(TRIM(H26))</f>
        <v>EU</v>
      </c>
      <c r="U26" s="2">
        <f>VALUE(SUBSTITUTE(SUBSTITUTE(G26,"score:",""),"risk-",""))</f>
        <v>38</v>
      </c>
      <c r="V26" s="2" t="str">
        <f t="shared" si="3"/>
        <v>46084|EUR</v>
      </c>
      <c r="W26" s="2">
        <f>D26 * INDEX(exchange_rates!$C$2:$C$19, MATCH(V26, exchange_rates!$D$2:$D$19, 0))</f>
        <v>3024</v>
      </c>
      <c r="X26" s="2">
        <f t="shared" si="4"/>
        <v>0</v>
      </c>
      <c r="Y26" s="2">
        <f t="shared" si="5"/>
        <v>0</v>
      </c>
    </row>
    <row r="27" spans="1:25" x14ac:dyDescent="0.3">
      <c r="A27" t="s">
        <v>91</v>
      </c>
      <c r="B27" s="1">
        <v>46086</v>
      </c>
      <c r="C27" t="s">
        <v>86</v>
      </c>
      <c r="D27">
        <v>3300</v>
      </c>
      <c r="E27" t="s">
        <v>83</v>
      </c>
      <c r="F27" t="s">
        <v>69</v>
      </c>
      <c r="G27">
        <v>44</v>
      </c>
      <c r="H27" t="s">
        <v>84</v>
      </c>
      <c r="I27" t="s">
        <v>44</v>
      </c>
      <c r="J27" t="s">
        <v>28</v>
      </c>
      <c r="M27" s="2" t="str">
        <f t="shared" si="0"/>
        <v>Eco Home</v>
      </c>
      <c r="N27" s="2" t="str">
        <f>VLOOKUP(M27, merchant_master!$A$2:$F$6, 4, FALSE)</f>
        <v>Nina Weber</v>
      </c>
      <c r="O27" s="2" t="str">
        <f>VLOOKUP(M27, merchant_master!$A$2:$F$6, 2, FALSE)</f>
        <v>M005</v>
      </c>
      <c r="P27" s="2" t="str">
        <f>VLOOKUP(M27, merchant_master!$A$2:$F$6, 5, FALSE)</f>
        <v>Home</v>
      </c>
      <c r="Q27" s="2" t="str">
        <f>VLOOKUP(M27, merchant_master!$A$2:$F$6, 6, FALSE)</f>
        <v>EU</v>
      </c>
      <c r="R27" s="3">
        <f t="shared" si="1"/>
        <v>46086</v>
      </c>
      <c r="S27" s="2" t="str">
        <f t="shared" si="2"/>
        <v>FAILED</v>
      </c>
      <c r="T27" s="2" t="str">
        <f>UPPER(TRIM(H27))</f>
        <v>EU</v>
      </c>
      <c r="U27" s="2">
        <f>VALUE(SUBSTITUTE(SUBSTITUTE(G27,"score:",""),"risk-",""))</f>
        <v>44</v>
      </c>
      <c r="V27" s="2" t="str">
        <f t="shared" si="3"/>
        <v>46086|EUR</v>
      </c>
      <c r="W27" s="2">
        <f>D27 * INDEX(exchange_rates!$C$2:$C$19, MATCH(V27, exchange_rates!$D$2:$D$19, 0))</f>
        <v>3597.0000000000005</v>
      </c>
      <c r="X27" s="2">
        <f t="shared" si="4"/>
        <v>0</v>
      </c>
      <c r="Y27" s="2">
        <f t="shared" si="5"/>
        <v>0</v>
      </c>
    </row>
    <row r="28" spans="1:25" x14ac:dyDescent="0.3">
      <c r="A28" t="s">
        <v>92</v>
      </c>
      <c r="B28" s="1">
        <v>46082</v>
      </c>
      <c r="C28" t="s">
        <v>93</v>
      </c>
      <c r="D28">
        <v>7200</v>
      </c>
      <c r="E28" t="s">
        <v>94</v>
      </c>
      <c r="F28" t="s">
        <v>55</v>
      </c>
      <c r="G28">
        <v>49</v>
      </c>
      <c r="H28" t="s">
        <v>95</v>
      </c>
      <c r="I28" t="s">
        <v>46</v>
      </c>
      <c r="J28" t="s">
        <v>22</v>
      </c>
      <c r="M28" s="2" t="str">
        <f t="shared" si="0"/>
        <v>Delta Travels</v>
      </c>
      <c r="N28" s="2" t="str">
        <f>VLOOKUP(M28, merchant_master!$A$2:$F$6, 4, FALSE)</f>
        <v>Marcus Lee</v>
      </c>
      <c r="O28" s="2" t="str">
        <f>VLOOKUP(M28, merchant_master!$A$2:$F$6, 2, FALSE)</f>
        <v>M004</v>
      </c>
      <c r="P28" s="2" t="str">
        <f>VLOOKUP(M28, merchant_master!$A$2:$F$6, 5, FALSE)</f>
        <v>Travel</v>
      </c>
      <c r="Q28" s="2" t="str">
        <f>VLOOKUP(M28, merchant_master!$A$2:$F$6, 6, FALSE)</f>
        <v>US</v>
      </c>
      <c r="R28" s="3">
        <f t="shared" si="1"/>
        <v>46082</v>
      </c>
      <c r="S28" s="2" t="str">
        <f t="shared" si="2"/>
        <v>CAPTURED</v>
      </c>
      <c r="T28" s="2" t="str">
        <f>UPPER(TRIM(H28))</f>
        <v>US</v>
      </c>
      <c r="U28" s="2">
        <f>VALUE(SUBSTITUTE(SUBSTITUTE(G28,"score:",""),"risk-",""))</f>
        <v>49</v>
      </c>
      <c r="V28" s="2" t="str">
        <f t="shared" si="3"/>
        <v>46082|USD</v>
      </c>
      <c r="W28" s="2">
        <f>D28 * INDEX(exchange_rates!$C$2:$C$19, MATCH(V28, exchange_rates!$D$2:$D$19, 0))</f>
        <v>7200</v>
      </c>
      <c r="X28" s="2">
        <f t="shared" si="4"/>
        <v>0</v>
      </c>
      <c r="Y28" s="2">
        <f t="shared" si="5"/>
        <v>1</v>
      </c>
    </row>
    <row r="29" spans="1:25" x14ac:dyDescent="0.3">
      <c r="A29" t="s">
        <v>96</v>
      </c>
      <c r="B29" s="1">
        <v>46083</v>
      </c>
      <c r="C29" t="s">
        <v>97</v>
      </c>
      <c r="D29">
        <v>3100</v>
      </c>
      <c r="E29" t="s">
        <v>94</v>
      </c>
      <c r="F29" t="s">
        <v>25</v>
      </c>
      <c r="G29" t="s">
        <v>98</v>
      </c>
      <c r="H29" t="s">
        <v>99</v>
      </c>
      <c r="I29" t="s">
        <v>53</v>
      </c>
      <c r="J29" t="s">
        <v>22</v>
      </c>
      <c r="M29" s="2" t="str">
        <f t="shared" si="0"/>
        <v>Delta Travels</v>
      </c>
      <c r="N29" s="2" t="str">
        <f>VLOOKUP(M29, merchant_master!$A$2:$F$6, 4, FALSE)</f>
        <v>Marcus Lee</v>
      </c>
      <c r="O29" s="2" t="str">
        <f>VLOOKUP(M29, merchant_master!$A$2:$F$6, 2, FALSE)</f>
        <v>M004</v>
      </c>
      <c r="P29" s="2" t="str">
        <f>VLOOKUP(M29, merchant_master!$A$2:$F$6, 5, FALSE)</f>
        <v>Travel</v>
      </c>
      <c r="Q29" s="2" t="str">
        <f>VLOOKUP(M29, merchant_master!$A$2:$F$6, 6, FALSE)</f>
        <v>US</v>
      </c>
      <c r="R29" s="3">
        <f t="shared" si="1"/>
        <v>46083</v>
      </c>
      <c r="S29" s="2" t="str">
        <f t="shared" si="2"/>
        <v>CAPTURED</v>
      </c>
      <c r="T29" s="2" t="str">
        <f>UPPER(TRIM(H29))</f>
        <v>US</v>
      </c>
      <c r="U29" s="2">
        <f>VALUE(SUBSTITUTE(SUBSTITUTE(G29,"score:",""),"risk-",""))</f>
        <v>41</v>
      </c>
      <c r="V29" s="2" t="str">
        <f t="shared" si="3"/>
        <v>46083|USD</v>
      </c>
      <c r="W29" s="2">
        <f>D29 * INDEX(exchange_rates!$C$2:$C$19, MATCH(V29, exchange_rates!$D$2:$D$19, 0))</f>
        <v>3100</v>
      </c>
      <c r="X29" s="2">
        <f t="shared" si="4"/>
        <v>0</v>
      </c>
      <c r="Y29" s="2">
        <f t="shared" si="5"/>
        <v>0</v>
      </c>
    </row>
    <row r="30" spans="1:25" x14ac:dyDescent="0.3">
      <c r="A30" t="s">
        <v>100</v>
      </c>
      <c r="B30" s="1">
        <v>46085</v>
      </c>
      <c r="C30" t="s">
        <v>101</v>
      </c>
      <c r="D30">
        <v>2500</v>
      </c>
      <c r="E30" t="s">
        <v>94</v>
      </c>
      <c r="F30" t="s">
        <v>72</v>
      </c>
      <c r="G30" t="s">
        <v>102</v>
      </c>
      <c r="H30" t="s">
        <v>99</v>
      </c>
      <c r="I30" t="s">
        <v>57</v>
      </c>
      <c r="J30" t="s">
        <v>39</v>
      </c>
      <c r="M30" s="2" t="str">
        <f t="shared" si="0"/>
        <v>Delta Travels</v>
      </c>
      <c r="N30" s="2" t="str">
        <f>VLOOKUP(M30, merchant_master!$A$2:$F$6, 4, FALSE)</f>
        <v>Marcus Lee</v>
      </c>
      <c r="O30" s="2" t="str">
        <f>VLOOKUP(M30, merchant_master!$A$2:$F$6, 2, FALSE)</f>
        <v>M004</v>
      </c>
      <c r="P30" s="2" t="str">
        <f>VLOOKUP(M30, merchant_master!$A$2:$F$6, 5, FALSE)</f>
        <v>Travel</v>
      </c>
      <c r="Q30" s="2" t="str">
        <f>VLOOKUP(M30, merchant_master!$A$2:$F$6, 6, FALSE)</f>
        <v>US</v>
      </c>
      <c r="R30" s="3">
        <f t="shared" si="1"/>
        <v>46085</v>
      </c>
      <c r="S30" s="2" t="str">
        <f t="shared" si="2"/>
        <v>CHARGEBACK</v>
      </c>
      <c r="T30" s="2" t="str">
        <f>UPPER(TRIM(H30))</f>
        <v>US</v>
      </c>
      <c r="U30" s="2">
        <f>VALUE(SUBSTITUTE(SUBSTITUTE(G30,"score:",""),"risk-",""))</f>
        <v>58</v>
      </c>
      <c r="V30" s="2" t="str">
        <f t="shared" si="3"/>
        <v>46085|USD</v>
      </c>
      <c r="W30" s="2">
        <f>D30 * INDEX(exchange_rates!$C$2:$C$19, MATCH(V30, exchange_rates!$D$2:$D$19, 0))</f>
        <v>2500</v>
      </c>
      <c r="X30" s="2">
        <f t="shared" si="4"/>
        <v>1</v>
      </c>
      <c r="Y30" s="2">
        <f t="shared" si="5"/>
        <v>0</v>
      </c>
    </row>
    <row r="31" spans="1:25" x14ac:dyDescent="0.3">
      <c r="A31" t="s">
        <v>103</v>
      </c>
      <c r="B31" s="1">
        <v>46087</v>
      </c>
      <c r="C31" t="s">
        <v>93</v>
      </c>
      <c r="D31">
        <v>1800</v>
      </c>
      <c r="E31" t="s">
        <v>94</v>
      </c>
      <c r="F31" t="s">
        <v>69</v>
      </c>
      <c r="G31" t="s">
        <v>104</v>
      </c>
      <c r="H31" t="s">
        <v>99</v>
      </c>
      <c r="I31" t="s">
        <v>60</v>
      </c>
      <c r="J31" t="s">
        <v>17</v>
      </c>
      <c r="M31" s="2" t="str">
        <f t="shared" si="0"/>
        <v>Delta Travels</v>
      </c>
      <c r="N31" s="2" t="str">
        <f>VLOOKUP(M31, merchant_master!$A$2:$F$6, 4, FALSE)</f>
        <v>Marcus Lee</v>
      </c>
      <c r="O31" s="2" t="str">
        <f>VLOOKUP(M31, merchant_master!$A$2:$F$6, 2, FALSE)</f>
        <v>M004</v>
      </c>
      <c r="P31" s="2" t="str">
        <f>VLOOKUP(M31, merchant_master!$A$2:$F$6, 5, FALSE)</f>
        <v>Travel</v>
      </c>
      <c r="Q31" s="2" t="str">
        <f>VLOOKUP(M31, merchant_master!$A$2:$F$6, 6, FALSE)</f>
        <v>US</v>
      </c>
      <c r="R31" s="3">
        <f t="shared" si="1"/>
        <v>46087</v>
      </c>
      <c r="S31" s="2" t="str">
        <f t="shared" si="2"/>
        <v>FAILED</v>
      </c>
      <c r="T31" s="2" t="str">
        <f>UPPER(TRIM(H31))</f>
        <v>US</v>
      </c>
      <c r="U31" s="2">
        <f>VALUE(SUBSTITUTE(SUBSTITUTE(G31,"score:",""),"risk-",""))</f>
        <v>47</v>
      </c>
      <c r="V31" s="2" t="str">
        <f t="shared" si="3"/>
        <v>46087|USD</v>
      </c>
      <c r="W31" s="2">
        <f>D31 * INDEX(exchange_rates!$C$2:$C$19, MATCH(V31, exchange_rates!$D$2:$D$19, 0))</f>
        <v>1800</v>
      </c>
      <c r="X31" s="2">
        <f t="shared" si="4"/>
        <v>0</v>
      </c>
      <c r="Y31" s="2">
        <f t="shared" si="5"/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D2" sqref="D2"/>
    </sheetView>
  </sheetViews>
  <sheetFormatPr defaultRowHeight="14.4" x14ac:dyDescent="0.3"/>
  <cols>
    <col min="1" max="1" width="10.33203125" bestFit="1" customWidth="1"/>
    <col min="4" max="4" width="9.88671875" bestFit="1" customWidth="1"/>
  </cols>
  <sheetData>
    <row r="1" spans="1:4" x14ac:dyDescent="0.3">
      <c r="A1" s="4" t="s">
        <v>111</v>
      </c>
      <c r="B1" s="4" t="s">
        <v>4</v>
      </c>
      <c r="C1" s="4" t="s">
        <v>112</v>
      </c>
      <c r="D1" s="4" t="s">
        <v>113</v>
      </c>
    </row>
    <row r="2" spans="1:4" x14ac:dyDescent="0.3">
      <c r="A2" s="5">
        <v>46082</v>
      </c>
      <c r="B2" s="4" t="s">
        <v>12</v>
      </c>
      <c r="C2" s="4">
        <v>1.1900000000000001E-2</v>
      </c>
      <c r="D2" t="str">
        <f>A2 &amp; "|" &amp; B2</f>
        <v>46082|INR</v>
      </c>
    </row>
    <row r="3" spans="1:4" x14ac:dyDescent="0.3">
      <c r="A3" s="5">
        <v>46082</v>
      </c>
      <c r="B3" s="4" t="s">
        <v>83</v>
      </c>
      <c r="C3" s="4">
        <v>1.08</v>
      </c>
      <c r="D3" t="str">
        <f t="shared" ref="D3:D19" si="0">A3 &amp; "|" &amp; B3</f>
        <v>46082|EUR</v>
      </c>
    </row>
    <row r="4" spans="1:4" x14ac:dyDescent="0.3">
      <c r="A4" s="5">
        <v>46082</v>
      </c>
      <c r="B4" s="4" t="s">
        <v>94</v>
      </c>
      <c r="C4" s="4">
        <v>1</v>
      </c>
      <c r="D4" t="str">
        <f t="shared" si="0"/>
        <v>46082|USD</v>
      </c>
    </row>
    <row r="5" spans="1:4" x14ac:dyDescent="0.3">
      <c r="A5" s="5">
        <v>46083</v>
      </c>
      <c r="B5" s="4" t="s">
        <v>12</v>
      </c>
      <c r="C5" s="4">
        <v>1.2E-2</v>
      </c>
      <c r="D5" t="str">
        <f t="shared" si="0"/>
        <v>46083|INR</v>
      </c>
    </row>
    <row r="6" spans="1:4" x14ac:dyDescent="0.3">
      <c r="A6" s="5">
        <v>46083</v>
      </c>
      <c r="B6" s="4" t="s">
        <v>83</v>
      </c>
      <c r="C6" s="4">
        <v>1.0900000000000001</v>
      </c>
      <c r="D6" t="str">
        <f t="shared" si="0"/>
        <v>46083|EUR</v>
      </c>
    </row>
    <row r="7" spans="1:4" x14ac:dyDescent="0.3">
      <c r="A7" s="5">
        <v>46083</v>
      </c>
      <c r="B7" s="4" t="s">
        <v>94</v>
      </c>
      <c r="C7" s="4">
        <v>1</v>
      </c>
      <c r="D7" t="str">
        <f t="shared" si="0"/>
        <v>46083|USD</v>
      </c>
    </row>
    <row r="8" spans="1:4" x14ac:dyDescent="0.3">
      <c r="A8" s="5">
        <v>46084</v>
      </c>
      <c r="B8" s="4" t="s">
        <v>12</v>
      </c>
      <c r="C8" s="4">
        <v>1.21E-2</v>
      </c>
      <c r="D8" t="str">
        <f t="shared" si="0"/>
        <v>46084|INR</v>
      </c>
    </row>
    <row r="9" spans="1:4" x14ac:dyDescent="0.3">
      <c r="A9" s="5">
        <v>46084</v>
      </c>
      <c r="B9" s="4" t="s">
        <v>83</v>
      </c>
      <c r="C9" s="4">
        <v>1.08</v>
      </c>
      <c r="D9" t="str">
        <f t="shared" si="0"/>
        <v>46084|EUR</v>
      </c>
    </row>
    <row r="10" spans="1:4" x14ac:dyDescent="0.3">
      <c r="A10" s="5">
        <v>46084</v>
      </c>
      <c r="B10" s="4" t="s">
        <v>94</v>
      </c>
      <c r="C10" s="4">
        <v>1</v>
      </c>
      <c r="D10" t="str">
        <f t="shared" si="0"/>
        <v>46084|USD</v>
      </c>
    </row>
    <row r="11" spans="1:4" x14ac:dyDescent="0.3">
      <c r="A11" s="5">
        <v>46085</v>
      </c>
      <c r="B11" s="4" t="s">
        <v>12</v>
      </c>
      <c r="C11" s="4">
        <v>1.2E-2</v>
      </c>
      <c r="D11" t="str">
        <f t="shared" si="0"/>
        <v>46085|INR</v>
      </c>
    </row>
    <row r="12" spans="1:4" x14ac:dyDescent="0.3">
      <c r="A12" s="5">
        <v>46085</v>
      </c>
      <c r="B12" s="4" t="s">
        <v>83</v>
      </c>
      <c r="C12" s="4">
        <v>1.07</v>
      </c>
      <c r="D12" t="str">
        <f t="shared" si="0"/>
        <v>46085|EUR</v>
      </c>
    </row>
    <row r="13" spans="1:4" x14ac:dyDescent="0.3">
      <c r="A13" s="5">
        <v>46085</v>
      </c>
      <c r="B13" s="4" t="s">
        <v>94</v>
      </c>
      <c r="C13" s="4">
        <v>1</v>
      </c>
      <c r="D13" t="str">
        <f t="shared" si="0"/>
        <v>46085|USD</v>
      </c>
    </row>
    <row r="14" spans="1:4" x14ac:dyDescent="0.3">
      <c r="A14" s="5">
        <v>46086</v>
      </c>
      <c r="B14" s="4" t="s">
        <v>12</v>
      </c>
      <c r="C14" s="4">
        <v>1.18E-2</v>
      </c>
      <c r="D14" t="str">
        <f t="shared" si="0"/>
        <v>46086|INR</v>
      </c>
    </row>
    <row r="15" spans="1:4" x14ac:dyDescent="0.3">
      <c r="A15" s="5">
        <v>46086</v>
      </c>
      <c r="B15" s="4" t="s">
        <v>83</v>
      </c>
      <c r="C15" s="4">
        <v>1.0900000000000001</v>
      </c>
      <c r="D15" t="str">
        <f t="shared" si="0"/>
        <v>46086|EUR</v>
      </c>
    </row>
    <row r="16" spans="1:4" x14ac:dyDescent="0.3">
      <c r="A16" s="5">
        <v>46086</v>
      </c>
      <c r="B16" s="4" t="s">
        <v>94</v>
      </c>
      <c r="C16" s="4">
        <v>1</v>
      </c>
      <c r="D16" t="str">
        <f t="shared" si="0"/>
        <v>46086|USD</v>
      </c>
    </row>
    <row r="17" spans="1:4" x14ac:dyDescent="0.3">
      <c r="A17" s="5">
        <v>46087</v>
      </c>
      <c r="B17" s="4" t="s">
        <v>12</v>
      </c>
      <c r="C17" s="4">
        <v>1.1900000000000001E-2</v>
      </c>
      <c r="D17" t="str">
        <f t="shared" si="0"/>
        <v>46087|INR</v>
      </c>
    </row>
    <row r="18" spans="1:4" x14ac:dyDescent="0.3">
      <c r="A18" s="5">
        <v>46087</v>
      </c>
      <c r="B18" s="4" t="s">
        <v>83</v>
      </c>
      <c r="C18" s="4">
        <v>1.08</v>
      </c>
      <c r="D18" t="str">
        <f t="shared" si="0"/>
        <v>46087|EUR</v>
      </c>
    </row>
    <row r="19" spans="1:4" x14ac:dyDescent="0.3">
      <c r="A19" s="5">
        <v>46087</v>
      </c>
      <c r="B19" s="4" t="s">
        <v>94</v>
      </c>
      <c r="C19" s="4">
        <v>1</v>
      </c>
      <c r="D19" t="str">
        <f t="shared" si="0"/>
        <v>46087|USD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D11" sqref="D11"/>
    </sheetView>
  </sheetViews>
  <sheetFormatPr defaultRowHeight="14.4" x14ac:dyDescent="0.3"/>
  <cols>
    <col min="1" max="1" width="19.33203125" bestFit="1" customWidth="1"/>
    <col min="2" max="2" width="11.21875" bestFit="1" customWidth="1"/>
    <col min="3" max="3" width="14.44140625" bestFit="1" customWidth="1"/>
    <col min="4" max="4" width="15.77734375" bestFit="1" customWidth="1"/>
    <col min="5" max="5" width="17" bestFit="1" customWidth="1"/>
    <col min="6" max="6" width="12.88671875" bestFit="1" customWidth="1"/>
    <col min="8" max="8" width="19.33203125" bestFit="1" customWidth="1"/>
  </cols>
  <sheetData>
    <row r="1" spans="1:6" x14ac:dyDescent="0.3">
      <c r="A1" t="s">
        <v>136</v>
      </c>
      <c r="B1" t="s">
        <v>117</v>
      </c>
      <c r="C1" t="s">
        <v>2</v>
      </c>
      <c r="D1" t="s">
        <v>118</v>
      </c>
      <c r="E1" t="s">
        <v>119</v>
      </c>
      <c r="F1" t="s">
        <v>120</v>
      </c>
    </row>
    <row r="2" spans="1:6" x14ac:dyDescent="0.3">
      <c r="A2" t="str">
        <f>PROPER(TRIM(SUBSTITUTE(C2,"  "," ")))</f>
        <v>Alpha Mart</v>
      </c>
      <c r="B2" t="s">
        <v>121</v>
      </c>
      <c r="C2" t="s">
        <v>35</v>
      </c>
      <c r="D2" t="s">
        <v>122</v>
      </c>
      <c r="E2" t="s">
        <v>123</v>
      </c>
      <c r="F2" t="s">
        <v>15</v>
      </c>
    </row>
    <row r="3" spans="1:6" x14ac:dyDescent="0.3">
      <c r="A3" t="str">
        <f>PROPER(TRIM(SUBSTITUTE(C3,"  "," ")))</f>
        <v>Beta Stores</v>
      </c>
      <c r="B3" t="s">
        <v>124</v>
      </c>
      <c r="C3" t="s">
        <v>49</v>
      </c>
      <c r="D3" t="s">
        <v>125</v>
      </c>
      <c r="E3" t="s">
        <v>126</v>
      </c>
      <c r="F3" t="s">
        <v>15</v>
      </c>
    </row>
    <row r="4" spans="1:6" x14ac:dyDescent="0.3">
      <c r="A4" t="str">
        <f>PROPER(TRIM(SUBSTITUTE(C4,"  "," ")))</f>
        <v>City Pharma</v>
      </c>
      <c r="B4" t="s">
        <v>127</v>
      </c>
      <c r="C4" t="s">
        <v>82</v>
      </c>
      <c r="D4" t="s">
        <v>128</v>
      </c>
      <c r="E4" t="s">
        <v>129</v>
      </c>
      <c r="F4" t="s">
        <v>88</v>
      </c>
    </row>
    <row r="5" spans="1:6" x14ac:dyDescent="0.3">
      <c r="A5" t="str">
        <f>PROPER(TRIM(SUBSTITUTE(C5,"  "," ")))</f>
        <v>Delta Travels</v>
      </c>
      <c r="B5" t="s">
        <v>130</v>
      </c>
      <c r="C5" t="s">
        <v>97</v>
      </c>
      <c r="D5" t="s">
        <v>131</v>
      </c>
      <c r="E5" t="s">
        <v>132</v>
      </c>
      <c r="F5" t="s">
        <v>99</v>
      </c>
    </row>
    <row r="6" spans="1:6" x14ac:dyDescent="0.3">
      <c r="A6" t="str">
        <f>PROPER(TRIM(SUBSTITUTE(C6,"  "," ")))</f>
        <v>Eco Home</v>
      </c>
      <c r="B6" t="s">
        <v>133</v>
      </c>
      <c r="C6" t="s">
        <v>86</v>
      </c>
      <c r="D6" t="s">
        <v>134</v>
      </c>
      <c r="E6" t="s">
        <v>135</v>
      </c>
      <c r="F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transactions_raw</vt:lpstr>
      <vt:lpstr>exchange_rates</vt:lpstr>
      <vt:lpstr>merchant_master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siwach</dc:creator>
  <cp:lastModifiedBy>siwach</cp:lastModifiedBy>
  <dcterms:created xsi:type="dcterms:W3CDTF">2026-05-10T13:54:25Z</dcterms:created>
  <dcterms:modified xsi:type="dcterms:W3CDTF">2026-05-10T14:37:33Z</dcterms:modified>
</cp:coreProperties>
</file>